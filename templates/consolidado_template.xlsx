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mira\3D Objects\BUREAU VERITAS\VIATICOS\VIATICOS\2026\ABRIL\TDP\"/>
    </mc:Choice>
  </mc:AlternateContent>
  <xr:revisionPtr revIDLastSave="0" documentId="13_ncr:1_{4F54792E-3E37-42A5-974B-79BC3280485B}" xr6:coauthVersionLast="47" xr6:coauthVersionMax="47" xr10:uidLastSave="{00000000-0000-0000-0000-000000000000}"/>
  <bookViews>
    <workbookView xWindow="10755" yWindow="0" windowWidth="17565" windowHeight="15600" xr2:uid="{00000000-000D-0000-FFFF-FFFF00000000}"/>
  </bookViews>
  <sheets>
    <sheet name="TGP" sheetId="28" r:id="rId1"/>
    <sheet name="Personal" sheetId="2" r:id="rId2"/>
  </sheets>
  <definedNames>
    <definedName name="_xlnm._FilterDatabase" localSheetId="1" hidden="1">Personal!$A$1:$J$98</definedName>
    <definedName name="_xlnm.Print_Area" localSheetId="0">TGP!$A$1:$G$29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8" l="1"/>
  <c r="G20" i="28" l="1"/>
  <c r="G17" i="28"/>
  <c r="G19" i="28"/>
  <c r="G18" i="28"/>
  <c r="C3" i="28"/>
  <c r="G16" i="28"/>
  <c r="D11" i="28" l="1"/>
  <c r="D10" i="28"/>
  <c r="D8" i="28"/>
  <c r="D7" i="28"/>
  <c r="D6" i="28"/>
  <c r="G21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Lopez</author>
  </authors>
  <commentList>
    <comment ref="G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Firma de Controlador de Contratos (Reynaldo Castañea)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u17178</author>
  </authors>
  <commentList>
    <comment ref="B1" authorId="0" shapeId="0" xr:uid="{00000000-0006-0000-0100-000001000000}">
      <text>
        <r>
          <rPr>
            <b/>
            <sz val="8"/>
            <color indexed="53"/>
            <rFont val="Tahoma"/>
            <family val="2"/>
          </rPr>
          <t>Ingreso obligatorio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A = Abono
Longitud: 1</t>
        </r>
      </text>
    </comment>
    <comment ref="C1" authorId="0" shapeId="0" xr:uid="{00000000-0006-0000-0100-000002000000}">
      <text>
        <r>
          <rPr>
            <b/>
            <sz val="8"/>
            <color indexed="53"/>
            <rFont val="Tahoma"/>
            <family val="2"/>
          </rPr>
          <t xml:space="preserve">Ingreso obligatorio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C = Corriente
M = Maestra
A = Ahorros
B = Interbancaria
Tipo: Alfanumérico
Longitud: 1</t>
        </r>
      </text>
    </comment>
    <comment ref="D1" authorId="0" shapeId="0" xr:uid="{00000000-0006-0000-0100-000003000000}">
      <text>
        <r>
          <rPr>
            <b/>
            <sz val="8"/>
            <color indexed="53"/>
            <rFont val="Tahoma"/>
            <family val="2"/>
          </rPr>
          <t xml:space="preserve">Ingreso obligatorio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Corriente y Maestra: SSSCCCCCCCMDD 
Tipo: Alfanumérico
Longitud: 13
Ahorros: SSSCCCCCCCCMDD
Tipo: Alfanumérico
Longitud: 14
Cuenta Interbancaria (CCI) consta de 20 posiciones:
Formato:BBBSSSCCCCCCCCCCCCDD
B: Banco
S: Sucursal
C: Cuenta
D: Dígitos de Control
Tipo: Alfanumérico
Longitud: 20</t>
        </r>
      </text>
    </comment>
    <comment ref="E1" authorId="0" shapeId="0" xr:uid="{00000000-0006-0000-0100-000004000000}">
      <text>
        <r>
          <rPr>
            <b/>
            <sz val="8"/>
            <color indexed="53"/>
            <rFont val="Tahoma"/>
            <family val="2"/>
          </rPr>
          <t xml:space="preserve">Ingreso obligatorio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Ingresar los valores:
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1 = Libreta Electoral/DNI  
3 = Carnet de Extranjería 
4 = Pasaporte 
Nota: Los valores ingresados deben estar en formato texto
Tipo: Alfanumérico
Longitud: 1</t>
        </r>
      </text>
    </comment>
    <comment ref="F1" authorId="0" shapeId="0" xr:uid="{00000000-0006-0000-0100-000005000000}">
      <text>
        <r>
          <rPr>
            <b/>
            <sz val="8"/>
            <color indexed="53"/>
            <rFont val="Tahoma"/>
            <family val="2"/>
          </rPr>
          <t xml:space="preserve">Ingreso obligatorio
</t>
        </r>
        <r>
          <rPr>
            <sz val="8"/>
            <color indexed="81"/>
            <rFont val="Tahoma"/>
            <family val="2"/>
          </rPr>
          <t xml:space="preserve">
Ingresar los siguientes números de:</t>
        </r>
        <r>
          <rPr>
            <b/>
            <sz val="8"/>
            <color indexed="53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DNI  --&gt; Tipo: Numérico y Longitud: 8.
CE    --&gt; Tipo: Alfanumérico y Longitud: 12 (como máximo).
PAS --&gt; Tipo: Alfanumérico y Longitud: 12 (como máximo).
RUC --&gt; Tipo: Numérico y Longitud: 11.
FIC   --&gt; Tipo: Numérico y Longitud: 12 (como máximo).
</t>
        </r>
      </text>
    </comment>
    <comment ref="G1" authorId="0" shapeId="0" xr:uid="{00000000-0006-0000-0100-000006000000}">
      <text>
        <r>
          <rPr>
            <b/>
            <sz val="8"/>
            <color indexed="53"/>
            <rFont val="Tahoma"/>
            <family val="2"/>
          </rPr>
          <t xml:space="preserve">Ingreso obligatorio
</t>
        </r>
        <r>
          <rPr>
            <sz val="8"/>
            <color indexed="81"/>
            <rFont val="Tahoma"/>
            <family val="2"/>
          </rPr>
          <t>Nombre del Trabajador:
Nombres + Apellido Paterno + Apellido Materno
Tipo: Alfanumérico
Longitud: 75</t>
        </r>
      </text>
    </comment>
    <comment ref="H1" authorId="0" shapeId="0" xr:uid="{00000000-0006-0000-0100-000007000000}">
      <text>
        <r>
          <rPr>
            <b/>
            <sz val="8"/>
            <color indexed="53"/>
            <rFont val="Tahoma"/>
            <family val="2"/>
          </rPr>
          <t xml:space="preserve">Ingreso obligatorio
</t>
        </r>
        <r>
          <rPr>
            <sz val="8"/>
            <color indexed="81"/>
            <rFont val="Tahoma"/>
            <family val="2"/>
          </rPr>
          <t>Valores Permitidos
S=Soles
D=Dólares
Tipo: Alfanumérico
Longitud: 1</t>
        </r>
      </text>
    </comment>
    <comment ref="I1" authorId="0" shapeId="0" xr:uid="{00000000-0006-0000-0100-000008000000}">
      <text>
        <r>
          <rPr>
            <b/>
            <sz val="8"/>
            <color indexed="53"/>
            <rFont val="Tahoma"/>
            <family val="2"/>
          </rPr>
          <t xml:space="preserve">Ingreso obligatorio
</t>
        </r>
        <r>
          <rPr>
            <sz val="8"/>
            <color indexed="81"/>
            <rFont val="Tahoma"/>
            <family val="2"/>
          </rPr>
          <t>Formato:
14 enteros + 
punto decimal + 
2 decimales
Tipo: Numérico
Longitud: 17</t>
        </r>
      </text>
    </comment>
  </commentList>
</comments>
</file>

<file path=xl/sharedStrings.xml><?xml version="1.0" encoding="utf-8"?>
<sst xmlns="http://schemas.openxmlformats.org/spreadsheetml/2006/main" count="429" uniqueCount="171">
  <si>
    <t>REQUISICIÓN DE</t>
  </si>
  <si>
    <t xml:space="preserve"> Viáticos</t>
  </si>
  <si>
    <t>Código: F-ADM-002
Versión: 02
Fecha: 21/09/2017</t>
  </si>
  <si>
    <t>Gastos Menores</t>
  </si>
  <si>
    <t xml:space="preserve">Fecha: </t>
  </si>
  <si>
    <t xml:space="preserve">N° de Contrato: </t>
  </si>
  <si>
    <t>Administrativo</t>
  </si>
  <si>
    <t>Comercial</t>
  </si>
  <si>
    <t>Tecnico</t>
  </si>
  <si>
    <t>Entrenamiento</t>
  </si>
  <si>
    <t>1. Nombres y Apellidos</t>
  </si>
  <si>
    <t>2. Cargo</t>
  </si>
  <si>
    <t>3. Documento de Identidad</t>
  </si>
  <si>
    <t>4. Centro de Costo</t>
  </si>
  <si>
    <t>5. Nombre del Banco</t>
  </si>
  <si>
    <t>BCP</t>
  </si>
  <si>
    <t>6. Número de Cuenta o CCI</t>
  </si>
  <si>
    <t>7. Justificación</t>
  </si>
  <si>
    <t>8. Fecha de Salida</t>
  </si>
  <si>
    <t>Fecha de Retorno</t>
  </si>
  <si>
    <t>9. Detalles de los viáticos</t>
  </si>
  <si>
    <t>Concepto</t>
  </si>
  <si>
    <t>Monto</t>
  </si>
  <si>
    <t>Cantidad</t>
  </si>
  <si>
    <t>Unidad</t>
  </si>
  <si>
    <t>Subtotal Requerido</t>
  </si>
  <si>
    <t>Total Requerido</t>
  </si>
  <si>
    <t>10. Observaciones / Comentarios</t>
  </si>
  <si>
    <t>11. Aprobaciones</t>
  </si>
  <si>
    <t>Area:</t>
  </si>
  <si>
    <t>IND</t>
  </si>
  <si>
    <t>Gerencia de Area:</t>
  </si>
  <si>
    <t>Presenta pendientes por liquidar (marcar con una "X")</t>
  </si>
  <si>
    <t>Nombre:</t>
  </si>
  <si>
    <t>Gustavo Fernandez</t>
  </si>
  <si>
    <t>Carlo Carrasco</t>
  </si>
  <si>
    <t>Cargo:</t>
  </si>
  <si>
    <t>Contract Manager</t>
  </si>
  <si>
    <t>Gerente de Operaciones</t>
  </si>
  <si>
    <t>SI</t>
  </si>
  <si>
    <t>Firma:</t>
  </si>
  <si>
    <t>NO</t>
  </si>
  <si>
    <t>Firma de Control de contratos:</t>
  </si>
  <si>
    <t>Tipo de Registro</t>
  </si>
  <si>
    <t>Tipo de Cuenta de Abono</t>
  </si>
  <si>
    <t>Cuenta de Abono</t>
  </si>
  <si>
    <t>Número de Documento de Identidad</t>
  </si>
  <si>
    <t>Nombre del Trabajador</t>
  </si>
  <si>
    <t>Tipo de Moneda de Abono</t>
  </si>
  <si>
    <t>Monto de Abono</t>
  </si>
  <si>
    <t>A</t>
  </si>
  <si>
    <t>B</t>
  </si>
  <si>
    <t>S</t>
  </si>
  <si>
    <t>ID</t>
  </si>
  <si>
    <t>CARGO</t>
  </si>
  <si>
    <t>BANCO</t>
  </si>
  <si>
    <t>BBVA</t>
  </si>
  <si>
    <t>mes</t>
  </si>
  <si>
    <t>INTERBANK</t>
  </si>
  <si>
    <t>ASISTENTE DE OPERACIONES</t>
  </si>
  <si>
    <t>SCOTIABANK</t>
  </si>
  <si>
    <t>C</t>
  </si>
  <si>
    <t>00219319511388903313</t>
  </si>
  <si>
    <t>D</t>
  </si>
  <si>
    <t>97</t>
  </si>
  <si>
    <t>E</t>
  </si>
  <si>
    <t xml:space="preserve">ANTON PEREYRA ANGELA YOSHI </t>
  </si>
  <si>
    <t>ARENAS SILVA CARLOS ERNESTO MARTIN</t>
  </si>
  <si>
    <t>BOLO LIZARRAGA DENISSE ARASCELLI</t>
  </si>
  <si>
    <t>BRONCALES BAZAN WENDY JAHAIRA</t>
  </si>
  <si>
    <t>CAJAHUAMAN CARDENAS MIGUEL</t>
  </si>
  <si>
    <t xml:space="preserve">CRISTÓBAL UBALDO LUIS ALEXANDER </t>
  </si>
  <si>
    <t>CHACON AVENDAÑO CARLOS ENRIQUE</t>
  </si>
  <si>
    <t xml:space="preserve">CHIROQUE BARRENO JORGE LUIS </t>
  </si>
  <si>
    <t>CHIROQUE MONTENEGRO LUIS ENRIQUE</t>
  </si>
  <si>
    <t>DIAZ CONDORI CRISTHIAN HOMERO</t>
  </si>
  <si>
    <t>FIESTAS ESPINOZA RIGOBERTO</t>
  </si>
  <si>
    <t>GARCIA CORDOVA STEFANI ROCIO</t>
  </si>
  <si>
    <t>GOITIA NORBERTO LUIS</t>
  </si>
  <si>
    <t>GOMEZ AMAYA KERRYS CLARETT</t>
  </si>
  <si>
    <t>GOMEZ GOMEZ JUAN JOSÉ</t>
  </si>
  <si>
    <t>GUANIPA JIM RICHARD</t>
  </si>
  <si>
    <t>MAURICIO VELEZ JULIO CESAR</t>
  </si>
  <si>
    <t xml:space="preserve">MOREANO SALAS VLADIMIR </t>
  </si>
  <si>
    <t>OJANAMA VASQUEZ JULIO ADOLFO</t>
  </si>
  <si>
    <t>PAZ RAMOS CARLOS ALBERTO</t>
  </si>
  <si>
    <t xml:space="preserve">REYES SÁNCHEZ JONATHAN ROBERTO </t>
  </si>
  <si>
    <t>ROJAS AJMAD DENNIS ANTONIO</t>
  </si>
  <si>
    <t>RUIZ NIETO ALEXANDRA NAHOMY</t>
  </si>
  <si>
    <t>SARAVIA CUEVA YULIANA ELIANA</t>
  </si>
  <si>
    <t>UCAÑAY FLORES BRANDON LUIS</t>
  </si>
  <si>
    <t>VALLADARES ANAMPA GERSON ANDREE</t>
  </si>
  <si>
    <t>VILCHEZ SAAVEDRA ABEL ESAU</t>
  </si>
  <si>
    <t>ZUBIATE ALIAGA EDUARDO DAVID</t>
  </si>
  <si>
    <t>08767267</t>
  </si>
  <si>
    <t>08171443</t>
  </si>
  <si>
    <t>40914845</t>
  </si>
  <si>
    <t>006145407</t>
  </si>
  <si>
    <t>003014745</t>
  </si>
  <si>
    <t>002616535</t>
  </si>
  <si>
    <t>001767067</t>
  </si>
  <si>
    <t>004068214</t>
  </si>
  <si>
    <t>INGENIERO ASISTENTE</t>
  </si>
  <si>
    <t>COORDINADOR DE CONSTRUCCION</t>
  </si>
  <si>
    <t>SUPERVISOR HSSE</t>
  </si>
  <si>
    <t>ESPECIALISTA EN INGENIERIA</t>
  </si>
  <si>
    <t>SUPERVISOR CALIDAD (QA/QC)</t>
  </si>
  <si>
    <t>SUPERVISOR MECÁNICO</t>
  </si>
  <si>
    <t>INGENIERO ASEGURAMIENTO DE CALIDAD QA</t>
  </si>
  <si>
    <t>GERENTE DE PROYECTO</t>
  </si>
  <si>
    <t>CONTROL DOCUMENTARIO</t>
  </si>
  <si>
    <t>INGENIERO PLANEAMIENTO CONSTRUCCIÓN</t>
  </si>
  <si>
    <t>SUPERVISOR ELECTRICO E INSTRUMENTACIÓN</t>
  </si>
  <si>
    <t>ESPECIALISTA DE INGENIERIA MECANICO</t>
  </si>
  <si>
    <t>INGENIERO PLANEAMIENTO GENERAL</t>
  </si>
  <si>
    <t>SUPERVISOR CIVIL</t>
  </si>
  <si>
    <t>GESTOR DE ACREDITACIONES</t>
  </si>
  <si>
    <t>COORDINADOR-ESPECIALISTA DE INGENIERÍA</t>
  </si>
  <si>
    <t>INGENIERO ASISTENTE DE LICITACIONES</t>
  </si>
  <si>
    <t>GESTOR DE ADQUISICIONES</t>
  </si>
  <si>
    <t>00326101323353278751</t>
  </si>
  <si>
    <t>01181400025910136615</t>
  </si>
  <si>
    <t>00254510052353405128</t>
  </si>
  <si>
    <t>00257019406478909108</t>
  </si>
  <si>
    <t>00219419987357900092</t>
  </si>
  <si>
    <t>00219110820771301852</t>
  </si>
  <si>
    <t>00219119206060801253</t>
  </si>
  <si>
    <t>00231019563007202314</t>
  </si>
  <si>
    <t>00219112554791407254</t>
  </si>
  <si>
    <t>00219311749885400816</t>
  </si>
  <si>
    <t>011262-00020020768330</t>
  </si>
  <si>
    <t>00314001314629345019</t>
  </si>
  <si>
    <t>00219419247734605899</t>
  </si>
  <si>
    <t>00219119049690501359</t>
  </si>
  <si>
    <t>00219119141842504154</t>
  </si>
  <si>
    <t>00372301311627445045</t>
  </si>
  <si>
    <t>00309101315243278862</t>
  </si>
  <si>
    <t>00375001309891442378</t>
  </si>
  <si>
    <t>01114500020048399406</t>
  </si>
  <si>
    <t>00219117805301302655</t>
  </si>
  <si>
    <t>00302301333429438099</t>
  </si>
  <si>
    <t>003898-01338834110843</t>
  </si>
  <si>
    <t>01105700023548534771</t>
  </si>
  <si>
    <t>01105700023522100574</t>
  </si>
  <si>
    <t>0217927656</t>
  </si>
  <si>
    <t>1780113872</t>
  </si>
  <si>
    <t>7317571003</t>
  </si>
  <si>
    <t>0737544205</t>
  </si>
  <si>
    <t>YOMIRA ISABEL RAMIREZ HERNANDEZ</t>
  </si>
  <si>
    <t>GUSTAVO FERNANDEZ HUERTA</t>
  </si>
  <si>
    <t>DANIEL CEDANO ADRIANZEN</t>
  </si>
  <si>
    <t>01148600010016146383</t>
  </si>
  <si>
    <t>00219419039936809093</t>
  </si>
  <si>
    <t>PLANNER DE OPERACIONES</t>
  </si>
  <si>
    <t>46007013</t>
  </si>
  <si>
    <t>CONTRACT MANAGER</t>
  </si>
  <si>
    <t>41777827</t>
  </si>
  <si>
    <t>72208110</t>
  </si>
  <si>
    <t>Hospedaje y Alimentacion</t>
  </si>
  <si>
    <t>Alquiler de Equipos</t>
  </si>
  <si>
    <t>Transporte</t>
  </si>
  <si>
    <t>Lavado y Limpieza camioneta</t>
  </si>
  <si>
    <t>Otros</t>
  </si>
  <si>
    <t>Viaticos del mes - TERMINALES DEL PERÚ</t>
  </si>
  <si>
    <t>Gastos mensuales asignados al personal.</t>
  </si>
  <si>
    <t>SANTILLAN YZAZAGA FRANCIS NESTOR JOHN</t>
  </si>
  <si>
    <t>00230517582872705911</t>
  </si>
  <si>
    <t>44449001</t>
  </si>
  <si>
    <t>PACHERRES GUERRERO MARCO FERNANDO</t>
  </si>
  <si>
    <t>41529097</t>
  </si>
  <si>
    <t>00230510216555301410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</si>
</sst>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.&quot;* #,##0.00_-;\-&quot;S/.&quot;* #,##0.00_-;_-&quot;S/.&quot;* &quot;-&quot;??_-;_-@_-"/>
    <numFmt numFmtId="164" formatCode="[$S/.-280A]\ #,##0.00"/>
    <numFmt numFmtId="165" formatCode="&quot;S/.&quot;#,##0.00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0"/>
      <name val="Formata Regular"/>
      <family val="2"/>
    </font>
    <font>
      <b/>
      <sz val="11"/>
      <color theme="1"/>
      <name val="Arial"/>
      <family val="2"/>
    </font>
    <font>
      <i/>
      <sz val="11"/>
      <color rgb="FFFF0000"/>
      <name val="Arial"/>
      <family val="2"/>
    </font>
    <font>
      <b/>
      <sz val="8"/>
      <color indexed="53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9"/>
      <name val="Calibri"/>
      <family val="2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BFCD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8">
    <xf numFmtId="0" fontId="0" fillId="0" borderId="0" xfId="0"/>
    <xf numFmtId="0" fontId="2" fillId="0" borderId="3" xfId="1" applyFont="1" applyBorder="1" applyAlignment="1">
      <alignment vertical="center" wrapText="1"/>
    </xf>
    <xf numFmtId="0" fontId="1" fillId="0" borderId="0" xfId="1"/>
    <xf numFmtId="0" fontId="2" fillId="0" borderId="6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7" fillId="0" borderId="7" xfId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7" fillId="0" borderId="9" xfId="1" applyFont="1" applyBorder="1" applyAlignment="1">
      <alignment vertical="center" wrapText="1"/>
    </xf>
    <xf numFmtId="0" fontId="7" fillId="0" borderId="10" xfId="1" applyFont="1" applyBorder="1" applyAlignment="1">
      <alignment vertical="center" wrapText="1"/>
    </xf>
    <xf numFmtId="0" fontId="8" fillId="0" borderId="13" xfId="1" applyFont="1" applyBorder="1" applyAlignment="1">
      <alignment horizontal="left" vertical="center" wrapText="1"/>
    </xf>
    <xf numFmtId="0" fontId="1" fillId="0" borderId="13" xfId="1" applyBorder="1" applyAlignment="1">
      <alignment vertical="center"/>
    </xf>
    <xf numFmtId="0" fontId="8" fillId="0" borderId="17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center" vertical="center" wrapText="1"/>
    </xf>
    <xf numFmtId="0" fontId="1" fillId="0" borderId="17" xfId="1" applyBorder="1" applyAlignment="1">
      <alignment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left" vertical="top" wrapText="1"/>
    </xf>
    <xf numFmtId="49" fontId="10" fillId="3" borderId="15" xfId="0" applyNumberFormat="1" applyFont="1" applyFill="1" applyBorder="1" applyAlignment="1">
      <alignment horizontal="center" vertical="center" wrapText="1"/>
    </xf>
    <xf numFmtId="49" fontId="11" fillId="4" borderId="15" xfId="0" applyNumberFormat="1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right" vertical="center"/>
    </xf>
    <xf numFmtId="14" fontId="5" fillId="0" borderId="22" xfId="1" applyNumberFormat="1" applyFont="1" applyBorder="1" applyAlignment="1">
      <alignment horizontal="center" vertical="center" wrapText="1"/>
    </xf>
    <xf numFmtId="0" fontId="5" fillId="0" borderId="3" xfId="1" applyFont="1" applyBorder="1"/>
    <xf numFmtId="0" fontId="5" fillId="0" borderId="22" xfId="1" applyFont="1" applyBorder="1" applyAlignment="1">
      <alignment horizontal="center" vertical="center" wrapText="1"/>
    </xf>
    <xf numFmtId="14" fontId="5" fillId="0" borderId="23" xfId="1" applyNumberFormat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3" fillId="0" borderId="17" xfId="1" applyFont="1" applyBorder="1" applyAlignment="1">
      <alignment horizontal="center" vertical="top" wrapText="1"/>
    </xf>
    <xf numFmtId="0" fontId="1" fillId="0" borderId="0" xfId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horizontal="center" vertical="top" wrapText="1"/>
    </xf>
    <xf numFmtId="0" fontId="6" fillId="0" borderId="0" xfId="1" applyFont="1" applyAlignment="1">
      <alignment horizontal="right" vertical="top" wrapText="1"/>
    </xf>
    <xf numFmtId="0" fontId="6" fillId="0" borderId="20" xfId="1" applyFont="1" applyBorder="1" applyAlignment="1">
      <alignment vertical="top" wrapText="1"/>
    </xf>
    <xf numFmtId="164" fontId="7" fillId="0" borderId="24" xfId="1" applyNumberFormat="1" applyFont="1" applyBorder="1" applyAlignment="1">
      <alignment horizontal="center" vertical="center" wrapText="1"/>
    </xf>
    <xf numFmtId="0" fontId="5" fillId="0" borderId="25" xfId="1" applyFont="1" applyBorder="1"/>
    <xf numFmtId="0" fontId="5" fillId="0" borderId="16" xfId="1" applyFont="1" applyBorder="1" applyAlignment="1">
      <alignment horizontal="center" vertical="top" wrapText="1"/>
    </xf>
    <xf numFmtId="0" fontId="1" fillId="0" borderId="16" xfId="1" applyBorder="1" applyAlignment="1">
      <alignment horizontal="center" vertical="top" wrapText="1"/>
    </xf>
    <xf numFmtId="0" fontId="7" fillId="0" borderId="16" xfId="1" applyFont="1" applyBorder="1" applyAlignment="1">
      <alignment horizontal="left" vertical="center" wrapText="1"/>
    </xf>
    <xf numFmtId="0" fontId="8" fillId="0" borderId="0" xfId="1" applyFont="1" applyAlignment="1">
      <alignment horizontal="center" vertical="center" wrapText="1"/>
    </xf>
    <xf numFmtId="0" fontId="7" fillId="2" borderId="7" xfId="1" applyFont="1" applyFill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7" fillId="2" borderId="9" xfId="1" applyFont="1" applyFill="1" applyBorder="1" applyAlignment="1">
      <alignment horizontal="left" vertical="center"/>
    </xf>
    <xf numFmtId="0" fontId="7" fillId="2" borderId="10" xfId="1" applyFont="1" applyFill="1" applyBorder="1" applyAlignment="1">
      <alignment horizontal="left" vertical="center"/>
    </xf>
    <xf numFmtId="0" fontId="7" fillId="2" borderId="11" xfId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2" xfId="1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12" fillId="0" borderId="7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left" vertical="center"/>
    </xf>
    <xf numFmtId="44" fontId="13" fillId="0" borderId="7" xfId="0" applyNumberFormat="1" applyFont="1" applyBorder="1" applyAlignment="1">
      <alignment horizontal="right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49" fontId="13" fillId="0" borderId="7" xfId="0" applyNumberFormat="1" applyFont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center" vertical="center" wrapText="1"/>
    </xf>
    <xf numFmtId="49" fontId="8" fillId="0" borderId="11" xfId="1" applyNumberFormat="1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/>
    </xf>
    <xf numFmtId="49" fontId="13" fillId="0" borderId="7" xfId="0" quotePrefix="1" applyNumberFormat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44" fontId="18" fillId="0" borderId="7" xfId="1" applyNumberFormat="1" applyFont="1" applyBorder="1" applyAlignment="1">
      <alignment horizontal="center" vertical="center" wrapText="1"/>
    </xf>
    <xf numFmtId="2" fontId="18" fillId="0" borderId="7" xfId="1" applyNumberFormat="1" applyFont="1" applyBorder="1" applyAlignment="1">
      <alignment horizontal="center" vertical="center" wrapText="1"/>
    </xf>
    <xf numFmtId="164" fontId="18" fillId="0" borderId="7" xfId="1" applyNumberFormat="1" applyFont="1" applyBorder="1" applyAlignment="1">
      <alignment horizontal="center" vertical="center" wrapText="1"/>
    </xf>
    <xf numFmtId="16" fontId="18" fillId="0" borderId="10" xfId="1" applyNumberFormat="1" applyFont="1" applyBorder="1" applyAlignment="1">
      <alignment horizontal="left" vertical="center"/>
    </xf>
    <xf numFmtId="165" fontId="17" fillId="0" borderId="0" xfId="1" applyNumberFormat="1" applyFont="1"/>
    <xf numFmtId="0" fontId="7" fillId="0" borderId="16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8" fillId="0" borderId="19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left" vertical="center"/>
    </xf>
    <xf numFmtId="0" fontId="7" fillId="2" borderId="20" xfId="1" applyFont="1" applyFill="1" applyBorder="1" applyAlignment="1">
      <alignment horizontal="left" vertical="center"/>
    </xf>
    <xf numFmtId="0" fontId="8" fillId="0" borderId="9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7" fillId="2" borderId="12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17" xfId="1" applyFont="1" applyFill="1" applyBorder="1" applyAlignment="1">
      <alignment horizontal="left" vertical="center"/>
    </xf>
    <xf numFmtId="0" fontId="7" fillId="0" borderId="12" xfId="1" applyFont="1" applyBorder="1" applyAlignment="1">
      <alignment horizontal="left" vertical="center" wrapText="1"/>
    </xf>
    <xf numFmtId="0" fontId="7" fillId="0" borderId="14" xfId="1" applyFont="1" applyBorder="1" applyAlignment="1">
      <alignment horizontal="left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left" vertical="center" wrapText="1"/>
    </xf>
    <xf numFmtId="0" fontId="18" fillId="0" borderId="10" xfId="1" applyFont="1" applyBorder="1" applyAlignment="1">
      <alignment horizontal="left" vertical="center" wrapText="1"/>
    </xf>
    <xf numFmtId="0" fontId="18" fillId="0" borderId="11" xfId="1" applyFont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/>
    </xf>
    <xf numFmtId="0" fontId="1" fillId="0" borderId="1" xfId="1" applyBorder="1" applyAlignment="1">
      <alignment horizontal="center" vertical="top" wrapText="1"/>
    </xf>
    <xf numFmtId="0" fontId="1" fillId="0" borderId="2" xfId="1" applyBorder="1" applyAlignment="1">
      <alignment horizontal="center" vertical="top" wrapText="1"/>
    </xf>
    <xf numFmtId="0" fontId="1" fillId="0" borderId="4" xfId="1" applyBorder="1" applyAlignment="1">
      <alignment horizontal="center" vertical="top" wrapText="1"/>
    </xf>
    <xf numFmtId="0" fontId="1" fillId="0" borderId="5" xfId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7" fillId="2" borderId="9" xfId="1" applyFont="1" applyFill="1" applyBorder="1" applyAlignment="1">
      <alignment horizontal="left" vertical="center" wrapText="1"/>
    </xf>
    <xf numFmtId="0" fontId="7" fillId="2" borderId="10" xfId="1" applyFont="1" applyFill="1" applyBorder="1" applyAlignment="1">
      <alignment horizontal="left" vertical="center" wrapText="1"/>
    </xf>
    <xf numFmtId="0" fontId="7" fillId="2" borderId="11" xfId="1" applyFont="1" applyFill="1" applyBorder="1" applyAlignment="1">
      <alignment horizontal="left" vertical="center" wrapText="1"/>
    </xf>
    <xf numFmtId="0" fontId="7" fillId="0" borderId="7" xfId="1" applyFont="1" applyBorder="1" applyAlignment="1">
      <alignment horizontal="center" vertical="center"/>
    </xf>
    <xf numFmtId="0" fontId="18" fillId="0" borderId="9" xfId="1" applyFont="1" applyBorder="1" applyAlignment="1">
      <alignment horizontal="left" vertical="center"/>
    </xf>
    <xf numFmtId="0" fontId="18" fillId="0" borderId="10" xfId="1" applyFont="1" applyBorder="1" applyAlignment="1">
      <alignment horizontal="left" vertical="center"/>
    </xf>
    <xf numFmtId="0" fontId="18" fillId="0" borderId="11" xfId="1" applyFont="1" applyBorder="1" applyAlignment="1">
      <alignment horizontal="left" vertical="center"/>
    </xf>
    <xf numFmtId="0" fontId="7" fillId="2" borderId="9" xfId="1" applyFont="1" applyFill="1" applyBorder="1" applyAlignment="1">
      <alignment horizontal="left" vertical="center"/>
    </xf>
    <xf numFmtId="0" fontId="7" fillId="2" borderId="10" xfId="1" applyFont="1" applyFill="1" applyBorder="1" applyAlignment="1">
      <alignment horizontal="left" vertical="center"/>
    </xf>
    <xf numFmtId="0" fontId="7" fillId="2" borderId="11" xfId="1" applyFont="1" applyFill="1" applyBorder="1" applyAlignment="1">
      <alignment horizontal="left" vertical="center"/>
    </xf>
    <xf numFmtId="0" fontId="19" fillId="0" borderId="7" xfId="1" applyFont="1" applyBorder="1" applyAlignment="1">
      <alignment horizontal="left" vertical="center"/>
    </xf>
    <xf numFmtId="0" fontId="19" fillId="0" borderId="9" xfId="1" applyFont="1" applyBorder="1" applyAlignment="1">
      <alignment vertical="center"/>
    </xf>
    <xf numFmtId="0" fontId="19" fillId="0" borderId="11" xfId="1" applyFont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7 2" xfId="2" xr:uid="{9F50E78F-0C3C-4E48-B3CA-FBC60FBD4A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1182565</xdr:colOff>
      <xdr:row>3</xdr:row>
      <xdr:rowOff>104775</xdr:rowOff>
    </xdr:from>
    <xdr:to>
      <xdr:col>3</xdr:col>
      <xdr:colOff>103598</xdr:colOff>
      <xdr:row>4</xdr:row>
      <xdr:rowOff>142875</xdr:rowOff>
    </xdr:to>
    <xdr:sp macro="" textlink="">
      <xdr:nvSpPr>
        <xdr:cNvPr id="3" name="12 Rectángulo">
          <a:extLst>
            <a:ext uri="{FF2B5EF4-FFF2-40B4-BE49-F238E27FC236}">
              <a16:creationId xmlns:a16="http://schemas.microsoft.com/office/drawing/2014/main" id="{8F97FFDB-F594-4788-BD38-0C205B5FAC51}"/>
            </a:ext>
          </a:extLst>
        </xdr:cNvPr>
        <xdr:cNvSpPr/>
      </xdr:nvSpPr>
      <xdr:spPr>
        <a:xfrm>
          <a:off x="2287465" y="1171575"/>
          <a:ext cx="121183" cy="15240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>
    <xdr:from>
      <xdr:col>1</xdr:col>
      <xdr:colOff>529167</xdr:colOff>
      <xdr:row>3</xdr:row>
      <xdr:rowOff>105833</xdr:rowOff>
    </xdr:from>
    <xdr:to>
      <xdr:col>1</xdr:col>
      <xdr:colOff>666750</xdr:colOff>
      <xdr:row>4</xdr:row>
      <xdr:rowOff>162173</xdr:rowOff>
    </xdr:to>
    <xdr:sp macro="" textlink="">
      <xdr:nvSpPr>
        <xdr:cNvPr id="4" name="16 Rectángulo">
          <a:extLst>
            <a:ext uri="{FF2B5EF4-FFF2-40B4-BE49-F238E27FC236}">
              <a16:creationId xmlns:a16="http://schemas.microsoft.com/office/drawing/2014/main" id="{A78D4413-6E4F-4726-A69B-0287EC527A41}"/>
            </a:ext>
          </a:extLst>
        </xdr:cNvPr>
        <xdr:cNvSpPr/>
      </xdr:nvSpPr>
      <xdr:spPr>
        <a:xfrm>
          <a:off x="867834" y="1174750"/>
          <a:ext cx="137583" cy="172756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>
    <xdr:from>
      <xdr:col>5</xdr:col>
      <xdr:colOff>758337</xdr:colOff>
      <xdr:row>4</xdr:row>
      <xdr:rowOff>0</xdr:rowOff>
    </xdr:from>
    <xdr:to>
      <xdr:col>5</xdr:col>
      <xdr:colOff>901774</xdr:colOff>
      <xdr:row>4</xdr:row>
      <xdr:rowOff>161925</xdr:rowOff>
    </xdr:to>
    <xdr:sp macro="" textlink="">
      <xdr:nvSpPr>
        <xdr:cNvPr id="5" name="6 Rectángulo">
          <a:extLst>
            <a:ext uri="{FF2B5EF4-FFF2-40B4-BE49-F238E27FC236}">
              <a16:creationId xmlns:a16="http://schemas.microsoft.com/office/drawing/2014/main" id="{65052B86-2C29-4F25-8F18-18F6B2077684}"/>
            </a:ext>
          </a:extLst>
        </xdr:cNvPr>
        <xdr:cNvSpPr/>
      </xdr:nvSpPr>
      <xdr:spPr>
        <a:xfrm>
          <a:off x="4873137" y="1181100"/>
          <a:ext cx="143437" cy="16192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 editAs="oneCell">
    <xdr:from>
      <xdr:col>0</xdr:col>
      <xdr:colOff>218701</xdr:colOff>
      <xdr:row>0</xdr:row>
      <xdr:rowOff>112801</xdr:rowOff>
    </xdr:from>
    <xdr:to>
      <xdr:col>1</xdr:col>
      <xdr:colOff>407572</xdr:colOff>
      <xdr:row>1</xdr:row>
      <xdr:rowOff>68579</xdr:rowOff>
    </xdr:to>
    <xdr:pic>
      <xdr:nvPicPr>
        <xdr:cNvPr id="8" name="2 Imagen">
          <a:extLst>
            <a:ext uri="{FF2B5EF4-FFF2-40B4-BE49-F238E27FC236}">
              <a16:creationId xmlns:a16="http://schemas.microsoft.com/office/drawing/2014/main" id="{1A0F1CC3-C1EF-403C-92A1-8AB01AB59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701" y="112801"/>
          <a:ext cx="527538" cy="61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138478</xdr:colOff>
      <xdr:row>1</xdr:row>
      <xdr:rowOff>9525</xdr:rowOff>
    </xdr:from>
    <xdr:to>
      <xdr:col>4</xdr:col>
      <xdr:colOff>338503</xdr:colOff>
      <xdr:row>2</xdr:row>
      <xdr:rowOff>0</xdr:rowOff>
    </xdr:to>
    <xdr:sp macro="" textlink="">
      <xdr:nvSpPr>
        <xdr:cNvPr id="20" name="25 Rectángulo">
          <a:extLst>
            <a:ext uri="{FF2B5EF4-FFF2-40B4-BE49-F238E27FC236}">
              <a16:creationId xmlns:a16="http://schemas.microsoft.com/office/drawing/2014/main" id="{A57A683E-D486-4642-90E0-13EA66F73A9A}"/>
            </a:ext>
          </a:extLst>
        </xdr:cNvPr>
        <xdr:cNvSpPr/>
      </xdr:nvSpPr>
      <xdr:spPr>
        <a:xfrm>
          <a:off x="3224578" y="666750"/>
          <a:ext cx="200025" cy="16192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117523</xdr:colOff>
      <xdr:row>0</xdr:row>
      <xdr:rowOff>74295</xdr:rowOff>
    </xdr:from>
    <xdr:to>
      <xdr:col>4</xdr:col>
      <xdr:colOff>317548</xdr:colOff>
      <xdr:row>0</xdr:row>
      <xdr:rowOff>236220</xdr:rowOff>
    </xdr:to>
    <xdr:sp macro="" textlink="">
      <xdr:nvSpPr>
        <xdr:cNvPr id="21" name="25 Rectángulo">
          <a:extLst>
            <a:ext uri="{FF2B5EF4-FFF2-40B4-BE49-F238E27FC236}">
              <a16:creationId xmlns:a16="http://schemas.microsoft.com/office/drawing/2014/main" id="{FBBA2E76-C6BF-4C10-A54F-B536BCAFCEFE}"/>
            </a:ext>
          </a:extLst>
        </xdr:cNvPr>
        <xdr:cNvSpPr/>
      </xdr:nvSpPr>
      <xdr:spPr>
        <a:xfrm>
          <a:off x="3203623" y="74295"/>
          <a:ext cx="200025" cy="161925"/>
        </a:xfrm>
        <a:prstGeom prst="rect">
          <a:avLst/>
        </a:prstGeom>
        <a:solidFill>
          <a:schemeClr val="tx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378932</xdr:colOff>
      <xdr:row>3</xdr:row>
      <xdr:rowOff>112395</xdr:rowOff>
    </xdr:from>
    <xdr:to>
      <xdr:col>4</xdr:col>
      <xdr:colOff>578957</xdr:colOff>
      <xdr:row>4</xdr:row>
      <xdr:rowOff>160020</xdr:rowOff>
    </xdr:to>
    <xdr:sp macro="" textlink="">
      <xdr:nvSpPr>
        <xdr:cNvPr id="22" name="25 Rectángulo">
          <a:extLst>
            <a:ext uri="{FF2B5EF4-FFF2-40B4-BE49-F238E27FC236}">
              <a16:creationId xmlns:a16="http://schemas.microsoft.com/office/drawing/2014/main" id="{E369ECC9-B62E-469C-B038-E51F04D8E548}"/>
            </a:ext>
          </a:extLst>
        </xdr:cNvPr>
        <xdr:cNvSpPr/>
      </xdr:nvSpPr>
      <xdr:spPr>
        <a:xfrm>
          <a:off x="3289349" y="1181312"/>
          <a:ext cx="200025" cy="164041"/>
        </a:xfrm>
        <a:prstGeom prst="rect">
          <a:avLst/>
        </a:prstGeom>
        <a:solidFill>
          <a:schemeClr val="tx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PE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9"/>
  <sheetViews>
    <sheetView showGridLines="0" tabSelected="1" view="pageBreakPreview" zoomScaleNormal="100" zoomScaleSheetLayoutView="100" workbookViewId="0">
      <selection activeCell="E17" sqref="E17"/>
    </sheetView>
  </sheetViews>
  <sheetFormatPr baseColWidth="10" defaultColWidth="50.7109375" defaultRowHeight="12.75"/>
  <cols>
    <col min="1" max="1" width="5" style="2" customWidth="1"/>
    <col min="2" max="2" width="10.140625" style="2" customWidth="1"/>
    <col min="3" max="3" width="16.7109375" style="2" customWidth="1"/>
    <col min="4" max="4" width="11.7109375" style="2" customWidth="1"/>
    <col min="5" max="5" width="15.42578125" style="2" customWidth="1"/>
    <col min="6" max="6" width="14.7109375" style="2" customWidth="1"/>
    <col min="7" max="7" width="28.42578125" style="2" customWidth="1"/>
    <col min="8" max="8" width="3.5703125" style="2" customWidth="1"/>
    <col min="9" max="9" width="9" style="2" customWidth="1"/>
    <col min="10" max="10" width="8.28515625" style="2" customWidth="1"/>
    <col min="11" max="11" width="11" style="2" customWidth="1"/>
    <col min="12" max="12" width="12.85546875" style="2" customWidth="1"/>
    <col min="13" max="13" width="7.140625" style="2" customWidth="1"/>
    <col min="14" max="256" width="50.7109375" style="2"/>
    <col min="257" max="257" width="5" style="2" customWidth="1"/>
    <col min="258" max="258" width="11.5703125" style="2" customWidth="1"/>
    <col min="259" max="259" width="18" style="2" customWidth="1"/>
    <col min="260" max="260" width="11.7109375" style="2" customWidth="1"/>
    <col min="261" max="261" width="15.42578125" style="2" customWidth="1"/>
    <col min="262" max="262" width="15.85546875" style="2" customWidth="1"/>
    <col min="263" max="263" width="28.42578125" style="2" customWidth="1"/>
    <col min="264" max="512" width="50.7109375" style="2"/>
    <col min="513" max="513" width="5" style="2" customWidth="1"/>
    <col min="514" max="514" width="11.5703125" style="2" customWidth="1"/>
    <col min="515" max="515" width="18" style="2" customWidth="1"/>
    <col min="516" max="516" width="11.7109375" style="2" customWidth="1"/>
    <col min="517" max="517" width="15.42578125" style="2" customWidth="1"/>
    <col min="518" max="518" width="15.85546875" style="2" customWidth="1"/>
    <col min="519" max="519" width="28.42578125" style="2" customWidth="1"/>
    <col min="520" max="768" width="50.7109375" style="2"/>
    <col min="769" max="769" width="5" style="2" customWidth="1"/>
    <col min="770" max="770" width="11.5703125" style="2" customWidth="1"/>
    <col min="771" max="771" width="18" style="2" customWidth="1"/>
    <col min="772" max="772" width="11.7109375" style="2" customWidth="1"/>
    <col min="773" max="773" width="15.42578125" style="2" customWidth="1"/>
    <col min="774" max="774" width="15.85546875" style="2" customWidth="1"/>
    <col min="775" max="775" width="28.42578125" style="2" customWidth="1"/>
    <col min="776" max="1024" width="50.7109375" style="2"/>
    <col min="1025" max="1025" width="5" style="2" customWidth="1"/>
    <col min="1026" max="1026" width="11.5703125" style="2" customWidth="1"/>
    <col min="1027" max="1027" width="18" style="2" customWidth="1"/>
    <col min="1028" max="1028" width="11.7109375" style="2" customWidth="1"/>
    <col min="1029" max="1029" width="15.42578125" style="2" customWidth="1"/>
    <col min="1030" max="1030" width="15.85546875" style="2" customWidth="1"/>
    <col min="1031" max="1031" width="28.42578125" style="2" customWidth="1"/>
    <col min="1032" max="1280" width="50.7109375" style="2"/>
    <col min="1281" max="1281" width="5" style="2" customWidth="1"/>
    <col min="1282" max="1282" width="11.5703125" style="2" customWidth="1"/>
    <col min="1283" max="1283" width="18" style="2" customWidth="1"/>
    <col min="1284" max="1284" width="11.7109375" style="2" customWidth="1"/>
    <col min="1285" max="1285" width="15.42578125" style="2" customWidth="1"/>
    <col min="1286" max="1286" width="15.85546875" style="2" customWidth="1"/>
    <col min="1287" max="1287" width="28.42578125" style="2" customWidth="1"/>
    <col min="1288" max="1536" width="50.7109375" style="2"/>
    <col min="1537" max="1537" width="5" style="2" customWidth="1"/>
    <col min="1538" max="1538" width="11.5703125" style="2" customWidth="1"/>
    <col min="1539" max="1539" width="18" style="2" customWidth="1"/>
    <col min="1540" max="1540" width="11.7109375" style="2" customWidth="1"/>
    <col min="1541" max="1541" width="15.42578125" style="2" customWidth="1"/>
    <col min="1542" max="1542" width="15.85546875" style="2" customWidth="1"/>
    <col min="1543" max="1543" width="28.42578125" style="2" customWidth="1"/>
    <col min="1544" max="1792" width="50.7109375" style="2"/>
    <col min="1793" max="1793" width="5" style="2" customWidth="1"/>
    <col min="1794" max="1794" width="11.5703125" style="2" customWidth="1"/>
    <col min="1795" max="1795" width="18" style="2" customWidth="1"/>
    <col min="1796" max="1796" width="11.7109375" style="2" customWidth="1"/>
    <col min="1797" max="1797" width="15.42578125" style="2" customWidth="1"/>
    <col min="1798" max="1798" width="15.85546875" style="2" customWidth="1"/>
    <col min="1799" max="1799" width="28.42578125" style="2" customWidth="1"/>
    <col min="1800" max="2048" width="50.7109375" style="2"/>
    <col min="2049" max="2049" width="5" style="2" customWidth="1"/>
    <col min="2050" max="2050" width="11.5703125" style="2" customWidth="1"/>
    <col min="2051" max="2051" width="18" style="2" customWidth="1"/>
    <col min="2052" max="2052" width="11.7109375" style="2" customWidth="1"/>
    <col min="2053" max="2053" width="15.42578125" style="2" customWidth="1"/>
    <col min="2054" max="2054" width="15.85546875" style="2" customWidth="1"/>
    <col min="2055" max="2055" width="28.42578125" style="2" customWidth="1"/>
    <col min="2056" max="2304" width="50.7109375" style="2"/>
    <col min="2305" max="2305" width="5" style="2" customWidth="1"/>
    <col min="2306" max="2306" width="11.5703125" style="2" customWidth="1"/>
    <col min="2307" max="2307" width="18" style="2" customWidth="1"/>
    <col min="2308" max="2308" width="11.7109375" style="2" customWidth="1"/>
    <col min="2309" max="2309" width="15.42578125" style="2" customWidth="1"/>
    <col min="2310" max="2310" width="15.85546875" style="2" customWidth="1"/>
    <col min="2311" max="2311" width="28.42578125" style="2" customWidth="1"/>
    <col min="2312" max="2560" width="50.7109375" style="2"/>
    <col min="2561" max="2561" width="5" style="2" customWidth="1"/>
    <col min="2562" max="2562" width="11.5703125" style="2" customWidth="1"/>
    <col min="2563" max="2563" width="18" style="2" customWidth="1"/>
    <col min="2564" max="2564" width="11.7109375" style="2" customWidth="1"/>
    <col min="2565" max="2565" width="15.42578125" style="2" customWidth="1"/>
    <col min="2566" max="2566" width="15.85546875" style="2" customWidth="1"/>
    <col min="2567" max="2567" width="28.42578125" style="2" customWidth="1"/>
    <col min="2568" max="2816" width="50.7109375" style="2"/>
    <col min="2817" max="2817" width="5" style="2" customWidth="1"/>
    <col min="2818" max="2818" width="11.5703125" style="2" customWidth="1"/>
    <col min="2819" max="2819" width="18" style="2" customWidth="1"/>
    <col min="2820" max="2820" width="11.7109375" style="2" customWidth="1"/>
    <col min="2821" max="2821" width="15.42578125" style="2" customWidth="1"/>
    <col min="2822" max="2822" width="15.85546875" style="2" customWidth="1"/>
    <col min="2823" max="2823" width="28.42578125" style="2" customWidth="1"/>
    <col min="2824" max="3072" width="50.7109375" style="2"/>
    <col min="3073" max="3073" width="5" style="2" customWidth="1"/>
    <col min="3074" max="3074" width="11.5703125" style="2" customWidth="1"/>
    <col min="3075" max="3075" width="18" style="2" customWidth="1"/>
    <col min="3076" max="3076" width="11.7109375" style="2" customWidth="1"/>
    <col min="3077" max="3077" width="15.42578125" style="2" customWidth="1"/>
    <col min="3078" max="3078" width="15.85546875" style="2" customWidth="1"/>
    <col min="3079" max="3079" width="28.42578125" style="2" customWidth="1"/>
    <col min="3080" max="3328" width="50.7109375" style="2"/>
    <col min="3329" max="3329" width="5" style="2" customWidth="1"/>
    <col min="3330" max="3330" width="11.5703125" style="2" customWidth="1"/>
    <col min="3331" max="3331" width="18" style="2" customWidth="1"/>
    <col min="3332" max="3332" width="11.7109375" style="2" customWidth="1"/>
    <col min="3333" max="3333" width="15.42578125" style="2" customWidth="1"/>
    <col min="3334" max="3334" width="15.85546875" style="2" customWidth="1"/>
    <col min="3335" max="3335" width="28.42578125" style="2" customWidth="1"/>
    <col min="3336" max="3584" width="50.7109375" style="2"/>
    <col min="3585" max="3585" width="5" style="2" customWidth="1"/>
    <col min="3586" max="3586" width="11.5703125" style="2" customWidth="1"/>
    <col min="3587" max="3587" width="18" style="2" customWidth="1"/>
    <col min="3588" max="3588" width="11.7109375" style="2" customWidth="1"/>
    <col min="3589" max="3589" width="15.42578125" style="2" customWidth="1"/>
    <col min="3590" max="3590" width="15.85546875" style="2" customWidth="1"/>
    <col min="3591" max="3591" width="28.42578125" style="2" customWidth="1"/>
    <col min="3592" max="3840" width="50.7109375" style="2"/>
    <col min="3841" max="3841" width="5" style="2" customWidth="1"/>
    <col min="3842" max="3842" width="11.5703125" style="2" customWidth="1"/>
    <col min="3843" max="3843" width="18" style="2" customWidth="1"/>
    <col min="3844" max="3844" width="11.7109375" style="2" customWidth="1"/>
    <col min="3845" max="3845" width="15.42578125" style="2" customWidth="1"/>
    <col min="3846" max="3846" width="15.85546875" style="2" customWidth="1"/>
    <col min="3847" max="3847" width="28.42578125" style="2" customWidth="1"/>
    <col min="3848" max="4096" width="50.7109375" style="2"/>
    <col min="4097" max="4097" width="5" style="2" customWidth="1"/>
    <col min="4098" max="4098" width="11.5703125" style="2" customWidth="1"/>
    <col min="4099" max="4099" width="18" style="2" customWidth="1"/>
    <col min="4100" max="4100" width="11.7109375" style="2" customWidth="1"/>
    <col min="4101" max="4101" width="15.42578125" style="2" customWidth="1"/>
    <col min="4102" max="4102" width="15.85546875" style="2" customWidth="1"/>
    <col min="4103" max="4103" width="28.42578125" style="2" customWidth="1"/>
    <col min="4104" max="4352" width="50.7109375" style="2"/>
    <col min="4353" max="4353" width="5" style="2" customWidth="1"/>
    <col min="4354" max="4354" width="11.5703125" style="2" customWidth="1"/>
    <col min="4355" max="4355" width="18" style="2" customWidth="1"/>
    <col min="4356" max="4356" width="11.7109375" style="2" customWidth="1"/>
    <col min="4357" max="4357" width="15.42578125" style="2" customWidth="1"/>
    <col min="4358" max="4358" width="15.85546875" style="2" customWidth="1"/>
    <col min="4359" max="4359" width="28.42578125" style="2" customWidth="1"/>
    <col min="4360" max="4608" width="50.7109375" style="2"/>
    <col min="4609" max="4609" width="5" style="2" customWidth="1"/>
    <col min="4610" max="4610" width="11.5703125" style="2" customWidth="1"/>
    <col min="4611" max="4611" width="18" style="2" customWidth="1"/>
    <col min="4612" max="4612" width="11.7109375" style="2" customWidth="1"/>
    <col min="4613" max="4613" width="15.42578125" style="2" customWidth="1"/>
    <col min="4614" max="4614" width="15.85546875" style="2" customWidth="1"/>
    <col min="4615" max="4615" width="28.42578125" style="2" customWidth="1"/>
    <col min="4616" max="4864" width="50.7109375" style="2"/>
    <col min="4865" max="4865" width="5" style="2" customWidth="1"/>
    <col min="4866" max="4866" width="11.5703125" style="2" customWidth="1"/>
    <col min="4867" max="4867" width="18" style="2" customWidth="1"/>
    <col min="4868" max="4868" width="11.7109375" style="2" customWidth="1"/>
    <col min="4869" max="4869" width="15.42578125" style="2" customWidth="1"/>
    <col min="4870" max="4870" width="15.85546875" style="2" customWidth="1"/>
    <col min="4871" max="4871" width="28.42578125" style="2" customWidth="1"/>
    <col min="4872" max="5120" width="50.7109375" style="2"/>
    <col min="5121" max="5121" width="5" style="2" customWidth="1"/>
    <col min="5122" max="5122" width="11.5703125" style="2" customWidth="1"/>
    <col min="5123" max="5123" width="18" style="2" customWidth="1"/>
    <col min="5124" max="5124" width="11.7109375" style="2" customWidth="1"/>
    <col min="5125" max="5125" width="15.42578125" style="2" customWidth="1"/>
    <col min="5126" max="5126" width="15.85546875" style="2" customWidth="1"/>
    <col min="5127" max="5127" width="28.42578125" style="2" customWidth="1"/>
    <col min="5128" max="5376" width="50.7109375" style="2"/>
    <col min="5377" max="5377" width="5" style="2" customWidth="1"/>
    <col min="5378" max="5378" width="11.5703125" style="2" customWidth="1"/>
    <col min="5379" max="5379" width="18" style="2" customWidth="1"/>
    <col min="5380" max="5380" width="11.7109375" style="2" customWidth="1"/>
    <col min="5381" max="5381" width="15.42578125" style="2" customWidth="1"/>
    <col min="5382" max="5382" width="15.85546875" style="2" customWidth="1"/>
    <col min="5383" max="5383" width="28.42578125" style="2" customWidth="1"/>
    <col min="5384" max="5632" width="50.7109375" style="2"/>
    <col min="5633" max="5633" width="5" style="2" customWidth="1"/>
    <col min="5634" max="5634" width="11.5703125" style="2" customWidth="1"/>
    <col min="5635" max="5635" width="18" style="2" customWidth="1"/>
    <col min="5636" max="5636" width="11.7109375" style="2" customWidth="1"/>
    <col min="5637" max="5637" width="15.42578125" style="2" customWidth="1"/>
    <col min="5638" max="5638" width="15.85546875" style="2" customWidth="1"/>
    <col min="5639" max="5639" width="28.42578125" style="2" customWidth="1"/>
    <col min="5640" max="5888" width="50.7109375" style="2"/>
    <col min="5889" max="5889" width="5" style="2" customWidth="1"/>
    <col min="5890" max="5890" width="11.5703125" style="2" customWidth="1"/>
    <col min="5891" max="5891" width="18" style="2" customWidth="1"/>
    <col min="5892" max="5892" width="11.7109375" style="2" customWidth="1"/>
    <col min="5893" max="5893" width="15.42578125" style="2" customWidth="1"/>
    <col min="5894" max="5894" width="15.85546875" style="2" customWidth="1"/>
    <col min="5895" max="5895" width="28.42578125" style="2" customWidth="1"/>
    <col min="5896" max="6144" width="50.7109375" style="2"/>
    <col min="6145" max="6145" width="5" style="2" customWidth="1"/>
    <col min="6146" max="6146" width="11.5703125" style="2" customWidth="1"/>
    <col min="6147" max="6147" width="18" style="2" customWidth="1"/>
    <col min="6148" max="6148" width="11.7109375" style="2" customWidth="1"/>
    <col min="6149" max="6149" width="15.42578125" style="2" customWidth="1"/>
    <col min="6150" max="6150" width="15.85546875" style="2" customWidth="1"/>
    <col min="6151" max="6151" width="28.42578125" style="2" customWidth="1"/>
    <col min="6152" max="6400" width="50.7109375" style="2"/>
    <col min="6401" max="6401" width="5" style="2" customWidth="1"/>
    <col min="6402" max="6402" width="11.5703125" style="2" customWidth="1"/>
    <col min="6403" max="6403" width="18" style="2" customWidth="1"/>
    <col min="6404" max="6404" width="11.7109375" style="2" customWidth="1"/>
    <col min="6405" max="6405" width="15.42578125" style="2" customWidth="1"/>
    <col min="6406" max="6406" width="15.85546875" style="2" customWidth="1"/>
    <col min="6407" max="6407" width="28.42578125" style="2" customWidth="1"/>
    <col min="6408" max="6656" width="50.7109375" style="2"/>
    <col min="6657" max="6657" width="5" style="2" customWidth="1"/>
    <col min="6658" max="6658" width="11.5703125" style="2" customWidth="1"/>
    <col min="6659" max="6659" width="18" style="2" customWidth="1"/>
    <col min="6660" max="6660" width="11.7109375" style="2" customWidth="1"/>
    <col min="6661" max="6661" width="15.42578125" style="2" customWidth="1"/>
    <col min="6662" max="6662" width="15.85546875" style="2" customWidth="1"/>
    <col min="6663" max="6663" width="28.42578125" style="2" customWidth="1"/>
    <col min="6664" max="6912" width="50.7109375" style="2"/>
    <col min="6913" max="6913" width="5" style="2" customWidth="1"/>
    <col min="6914" max="6914" width="11.5703125" style="2" customWidth="1"/>
    <col min="6915" max="6915" width="18" style="2" customWidth="1"/>
    <col min="6916" max="6916" width="11.7109375" style="2" customWidth="1"/>
    <col min="6917" max="6917" width="15.42578125" style="2" customWidth="1"/>
    <col min="6918" max="6918" width="15.85546875" style="2" customWidth="1"/>
    <col min="6919" max="6919" width="28.42578125" style="2" customWidth="1"/>
    <col min="6920" max="7168" width="50.7109375" style="2"/>
    <col min="7169" max="7169" width="5" style="2" customWidth="1"/>
    <col min="7170" max="7170" width="11.5703125" style="2" customWidth="1"/>
    <col min="7171" max="7171" width="18" style="2" customWidth="1"/>
    <col min="7172" max="7172" width="11.7109375" style="2" customWidth="1"/>
    <col min="7173" max="7173" width="15.42578125" style="2" customWidth="1"/>
    <col min="7174" max="7174" width="15.85546875" style="2" customWidth="1"/>
    <col min="7175" max="7175" width="28.42578125" style="2" customWidth="1"/>
    <col min="7176" max="7424" width="50.7109375" style="2"/>
    <col min="7425" max="7425" width="5" style="2" customWidth="1"/>
    <col min="7426" max="7426" width="11.5703125" style="2" customWidth="1"/>
    <col min="7427" max="7427" width="18" style="2" customWidth="1"/>
    <col min="7428" max="7428" width="11.7109375" style="2" customWidth="1"/>
    <col min="7429" max="7429" width="15.42578125" style="2" customWidth="1"/>
    <col min="7430" max="7430" width="15.85546875" style="2" customWidth="1"/>
    <col min="7431" max="7431" width="28.42578125" style="2" customWidth="1"/>
    <col min="7432" max="7680" width="50.7109375" style="2"/>
    <col min="7681" max="7681" width="5" style="2" customWidth="1"/>
    <col min="7682" max="7682" width="11.5703125" style="2" customWidth="1"/>
    <col min="7683" max="7683" width="18" style="2" customWidth="1"/>
    <col min="7684" max="7684" width="11.7109375" style="2" customWidth="1"/>
    <col min="7685" max="7685" width="15.42578125" style="2" customWidth="1"/>
    <col min="7686" max="7686" width="15.85546875" style="2" customWidth="1"/>
    <col min="7687" max="7687" width="28.42578125" style="2" customWidth="1"/>
    <col min="7688" max="7936" width="50.7109375" style="2"/>
    <col min="7937" max="7937" width="5" style="2" customWidth="1"/>
    <col min="7938" max="7938" width="11.5703125" style="2" customWidth="1"/>
    <col min="7939" max="7939" width="18" style="2" customWidth="1"/>
    <col min="7940" max="7940" width="11.7109375" style="2" customWidth="1"/>
    <col min="7941" max="7941" width="15.42578125" style="2" customWidth="1"/>
    <col min="7942" max="7942" width="15.85546875" style="2" customWidth="1"/>
    <col min="7943" max="7943" width="28.42578125" style="2" customWidth="1"/>
    <col min="7944" max="8192" width="50.7109375" style="2"/>
    <col min="8193" max="8193" width="5" style="2" customWidth="1"/>
    <col min="8194" max="8194" width="11.5703125" style="2" customWidth="1"/>
    <col min="8195" max="8195" width="18" style="2" customWidth="1"/>
    <col min="8196" max="8196" width="11.7109375" style="2" customWidth="1"/>
    <col min="8197" max="8197" width="15.42578125" style="2" customWidth="1"/>
    <col min="8198" max="8198" width="15.85546875" style="2" customWidth="1"/>
    <col min="8199" max="8199" width="28.42578125" style="2" customWidth="1"/>
    <col min="8200" max="8448" width="50.7109375" style="2"/>
    <col min="8449" max="8449" width="5" style="2" customWidth="1"/>
    <col min="8450" max="8450" width="11.5703125" style="2" customWidth="1"/>
    <col min="8451" max="8451" width="18" style="2" customWidth="1"/>
    <col min="8452" max="8452" width="11.7109375" style="2" customWidth="1"/>
    <col min="8453" max="8453" width="15.42578125" style="2" customWidth="1"/>
    <col min="8454" max="8454" width="15.85546875" style="2" customWidth="1"/>
    <col min="8455" max="8455" width="28.42578125" style="2" customWidth="1"/>
    <col min="8456" max="8704" width="50.7109375" style="2"/>
    <col min="8705" max="8705" width="5" style="2" customWidth="1"/>
    <col min="8706" max="8706" width="11.5703125" style="2" customWidth="1"/>
    <col min="8707" max="8707" width="18" style="2" customWidth="1"/>
    <col min="8708" max="8708" width="11.7109375" style="2" customWidth="1"/>
    <col min="8709" max="8709" width="15.42578125" style="2" customWidth="1"/>
    <col min="8710" max="8710" width="15.85546875" style="2" customWidth="1"/>
    <col min="8711" max="8711" width="28.42578125" style="2" customWidth="1"/>
    <col min="8712" max="8960" width="50.7109375" style="2"/>
    <col min="8961" max="8961" width="5" style="2" customWidth="1"/>
    <col min="8962" max="8962" width="11.5703125" style="2" customWidth="1"/>
    <col min="8963" max="8963" width="18" style="2" customWidth="1"/>
    <col min="8964" max="8964" width="11.7109375" style="2" customWidth="1"/>
    <col min="8965" max="8965" width="15.42578125" style="2" customWidth="1"/>
    <col min="8966" max="8966" width="15.85546875" style="2" customWidth="1"/>
    <col min="8967" max="8967" width="28.42578125" style="2" customWidth="1"/>
    <col min="8968" max="9216" width="50.7109375" style="2"/>
    <col min="9217" max="9217" width="5" style="2" customWidth="1"/>
    <col min="9218" max="9218" width="11.5703125" style="2" customWidth="1"/>
    <col min="9219" max="9219" width="18" style="2" customWidth="1"/>
    <col min="9220" max="9220" width="11.7109375" style="2" customWidth="1"/>
    <col min="9221" max="9221" width="15.42578125" style="2" customWidth="1"/>
    <col min="9222" max="9222" width="15.85546875" style="2" customWidth="1"/>
    <col min="9223" max="9223" width="28.42578125" style="2" customWidth="1"/>
    <col min="9224" max="9472" width="50.7109375" style="2"/>
    <col min="9473" max="9473" width="5" style="2" customWidth="1"/>
    <col min="9474" max="9474" width="11.5703125" style="2" customWidth="1"/>
    <col min="9475" max="9475" width="18" style="2" customWidth="1"/>
    <col min="9476" max="9476" width="11.7109375" style="2" customWidth="1"/>
    <col min="9477" max="9477" width="15.42578125" style="2" customWidth="1"/>
    <col min="9478" max="9478" width="15.85546875" style="2" customWidth="1"/>
    <col min="9479" max="9479" width="28.42578125" style="2" customWidth="1"/>
    <col min="9480" max="9728" width="50.7109375" style="2"/>
    <col min="9729" max="9729" width="5" style="2" customWidth="1"/>
    <col min="9730" max="9730" width="11.5703125" style="2" customWidth="1"/>
    <col min="9731" max="9731" width="18" style="2" customWidth="1"/>
    <col min="9732" max="9732" width="11.7109375" style="2" customWidth="1"/>
    <col min="9733" max="9733" width="15.42578125" style="2" customWidth="1"/>
    <col min="9734" max="9734" width="15.85546875" style="2" customWidth="1"/>
    <col min="9735" max="9735" width="28.42578125" style="2" customWidth="1"/>
    <col min="9736" max="9984" width="50.7109375" style="2"/>
    <col min="9985" max="9985" width="5" style="2" customWidth="1"/>
    <col min="9986" max="9986" width="11.5703125" style="2" customWidth="1"/>
    <col min="9987" max="9987" width="18" style="2" customWidth="1"/>
    <col min="9988" max="9988" width="11.7109375" style="2" customWidth="1"/>
    <col min="9989" max="9989" width="15.42578125" style="2" customWidth="1"/>
    <col min="9990" max="9990" width="15.85546875" style="2" customWidth="1"/>
    <col min="9991" max="9991" width="28.42578125" style="2" customWidth="1"/>
    <col min="9992" max="10240" width="50.7109375" style="2"/>
    <col min="10241" max="10241" width="5" style="2" customWidth="1"/>
    <col min="10242" max="10242" width="11.5703125" style="2" customWidth="1"/>
    <col min="10243" max="10243" width="18" style="2" customWidth="1"/>
    <col min="10244" max="10244" width="11.7109375" style="2" customWidth="1"/>
    <col min="10245" max="10245" width="15.42578125" style="2" customWidth="1"/>
    <col min="10246" max="10246" width="15.85546875" style="2" customWidth="1"/>
    <col min="10247" max="10247" width="28.42578125" style="2" customWidth="1"/>
    <col min="10248" max="10496" width="50.7109375" style="2"/>
    <col min="10497" max="10497" width="5" style="2" customWidth="1"/>
    <col min="10498" max="10498" width="11.5703125" style="2" customWidth="1"/>
    <col min="10499" max="10499" width="18" style="2" customWidth="1"/>
    <col min="10500" max="10500" width="11.7109375" style="2" customWidth="1"/>
    <col min="10501" max="10501" width="15.42578125" style="2" customWidth="1"/>
    <col min="10502" max="10502" width="15.85546875" style="2" customWidth="1"/>
    <col min="10503" max="10503" width="28.42578125" style="2" customWidth="1"/>
    <col min="10504" max="10752" width="50.7109375" style="2"/>
    <col min="10753" max="10753" width="5" style="2" customWidth="1"/>
    <col min="10754" max="10754" width="11.5703125" style="2" customWidth="1"/>
    <col min="10755" max="10755" width="18" style="2" customWidth="1"/>
    <col min="10756" max="10756" width="11.7109375" style="2" customWidth="1"/>
    <col min="10757" max="10757" width="15.42578125" style="2" customWidth="1"/>
    <col min="10758" max="10758" width="15.85546875" style="2" customWidth="1"/>
    <col min="10759" max="10759" width="28.42578125" style="2" customWidth="1"/>
    <col min="10760" max="11008" width="50.7109375" style="2"/>
    <col min="11009" max="11009" width="5" style="2" customWidth="1"/>
    <col min="11010" max="11010" width="11.5703125" style="2" customWidth="1"/>
    <col min="11011" max="11011" width="18" style="2" customWidth="1"/>
    <col min="11012" max="11012" width="11.7109375" style="2" customWidth="1"/>
    <col min="11013" max="11013" width="15.42578125" style="2" customWidth="1"/>
    <col min="11014" max="11014" width="15.85546875" style="2" customWidth="1"/>
    <col min="11015" max="11015" width="28.42578125" style="2" customWidth="1"/>
    <col min="11016" max="11264" width="50.7109375" style="2"/>
    <col min="11265" max="11265" width="5" style="2" customWidth="1"/>
    <col min="11266" max="11266" width="11.5703125" style="2" customWidth="1"/>
    <col min="11267" max="11267" width="18" style="2" customWidth="1"/>
    <col min="11268" max="11268" width="11.7109375" style="2" customWidth="1"/>
    <col min="11269" max="11269" width="15.42578125" style="2" customWidth="1"/>
    <col min="11270" max="11270" width="15.85546875" style="2" customWidth="1"/>
    <col min="11271" max="11271" width="28.42578125" style="2" customWidth="1"/>
    <col min="11272" max="11520" width="50.7109375" style="2"/>
    <col min="11521" max="11521" width="5" style="2" customWidth="1"/>
    <col min="11522" max="11522" width="11.5703125" style="2" customWidth="1"/>
    <col min="11523" max="11523" width="18" style="2" customWidth="1"/>
    <col min="11524" max="11524" width="11.7109375" style="2" customWidth="1"/>
    <col min="11525" max="11525" width="15.42578125" style="2" customWidth="1"/>
    <col min="11526" max="11526" width="15.85546875" style="2" customWidth="1"/>
    <col min="11527" max="11527" width="28.42578125" style="2" customWidth="1"/>
    <col min="11528" max="11776" width="50.7109375" style="2"/>
    <col min="11777" max="11777" width="5" style="2" customWidth="1"/>
    <col min="11778" max="11778" width="11.5703125" style="2" customWidth="1"/>
    <col min="11779" max="11779" width="18" style="2" customWidth="1"/>
    <col min="11780" max="11780" width="11.7109375" style="2" customWidth="1"/>
    <col min="11781" max="11781" width="15.42578125" style="2" customWidth="1"/>
    <col min="11782" max="11782" width="15.85546875" style="2" customWidth="1"/>
    <col min="11783" max="11783" width="28.42578125" style="2" customWidth="1"/>
    <col min="11784" max="12032" width="50.7109375" style="2"/>
    <col min="12033" max="12033" width="5" style="2" customWidth="1"/>
    <col min="12034" max="12034" width="11.5703125" style="2" customWidth="1"/>
    <col min="12035" max="12035" width="18" style="2" customWidth="1"/>
    <col min="12036" max="12036" width="11.7109375" style="2" customWidth="1"/>
    <col min="12037" max="12037" width="15.42578125" style="2" customWidth="1"/>
    <col min="12038" max="12038" width="15.85546875" style="2" customWidth="1"/>
    <col min="12039" max="12039" width="28.42578125" style="2" customWidth="1"/>
    <col min="12040" max="12288" width="50.7109375" style="2"/>
    <col min="12289" max="12289" width="5" style="2" customWidth="1"/>
    <col min="12290" max="12290" width="11.5703125" style="2" customWidth="1"/>
    <col min="12291" max="12291" width="18" style="2" customWidth="1"/>
    <col min="12292" max="12292" width="11.7109375" style="2" customWidth="1"/>
    <col min="12293" max="12293" width="15.42578125" style="2" customWidth="1"/>
    <col min="12294" max="12294" width="15.85546875" style="2" customWidth="1"/>
    <col min="12295" max="12295" width="28.42578125" style="2" customWidth="1"/>
    <col min="12296" max="12544" width="50.7109375" style="2"/>
    <col min="12545" max="12545" width="5" style="2" customWidth="1"/>
    <col min="12546" max="12546" width="11.5703125" style="2" customWidth="1"/>
    <col min="12547" max="12547" width="18" style="2" customWidth="1"/>
    <col min="12548" max="12548" width="11.7109375" style="2" customWidth="1"/>
    <col min="12549" max="12549" width="15.42578125" style="2" customWidth="1"/>
    <col min="12550" max="12550" width="15.85546875" style="2" customWidth="1"/>
    <col min="12551" max="12551" width="28.42578125" style="2" customWidth="1"/>
    <col min="12552" max="12800" width="50.7109375" style="2"/>
    <col min="12801" max="12801" width="5" style="2" customWidth="1"/>
    <col min="12802" max="12802" width="11.5703125" style="2" customWidth="1"/>
    <col min="12803" max="12803" width="18" style="2" customWidth="1"/>
    <col min="12804" max="12804" width="11.7109375" style="2" customWidth="1"/>
    <col min="12805" max="12805" width="15.42578125" style="2" customWidth="1"/>
    <col min="12806" max="12806" width="15.85546875" style="2" customWidth="1"/>
    <col min="12807" max="12807" width="28.42578125" style="2" customWidth="1"/>
    <col min="12808" max="13056" width="50.7109375" style="2"/>
    <col min="13057" max="13057" width="5" style="2" customWidth="1"/>
    <col min="13058" max="13058" width="11.5703125" style="2" customWidth="1"/>
    <col min="13059" max="13059" width="18" style="2" customWidth="1"/>
    <col min="13060" max="13060" width="11.7109375" style="2" customWidth="1"/>
    <col min="13061" max="13061" width="15.42578125" style="2" customWidth="1"/>
    <col min="13062" max="13062" width="15.85546875" style="2" customWidth="1"/>
    <col min="13063" max="13063" width="28.42578125" style="2" customWidth="1"/>
    <col min="13064" max="13312" width="50.7109375" style="2"/>
    <col min="13313" max="13313" width="5" style="2" customWidth="1"/>
    <col min="13314" max="13314" width="11.5703125" style="2" customWidth="1"/>
    <col min="13315" max="13315" width="18" style="2" customWidth="1"/>
    <col min="13316" max="13316" width="11.7109375" style="2" customWidth="1"/>
    <col min="13317" max="13317" width="15.42578125" style="2" customWidth="1"/>
    <col min="13318" max="13318" width="15.85546875" style="2" customWidth="1"/>
    <col min="13319" max="13319" width="28.42578125" style="2" customWidth="1"/>
    <col min="13320" max="13568" width="50.7109375" style="2"/>
    <col min="13569" max="13569" width="5" style="2" customWidth="1"/>
    <col min="13570" max="13570" width="11.5703125" style="2" customWidth="1"/>
    <col min="13571" max="13571" width="18" style="2" customWidth="1"/>
    <col min="13572" max="13572" width="11.7109375" style="2" customWidth="1"/>
    <col min="13573" max="13573" width="15.42578125" style="2" customWidth="1"/>
    <col min="13574" max="13574" width="15.85546875" style="2" customWidth="1"/>
    <col min="13575" max="13575" width="28.42578125" style="2" customWidth="1"/>
    <col min="13576" max="13824" width="50.7109375" style="2"/>
    <col min="13825" max="13825" width="5" style="2" customWidth="1"/>
    <col min="13826" max="13826" width="11.5703125" style="2" customWidth="1"/>
    <col min="13827" max="13827" width="18" style="2" customWidth="1"/>
    <col min="13828" max="13828" width="11.7109375" style="2" customWidth="1"/>
    <col min="13829" max="13829" width="15.42578125" style="2" customWidth="1"/>
    <col min="13830" max="13830" width="15.85546875" style="2" customWidth="1"/>
    <col min="13831" max="13831" width="28.42578125" style="2" customWidth="1"/>
    <col min="13832" max="14080" width="50.7109375" style="2"/>
    <col min="14081" max="14081" width="5" style="2" customWidth="1"/>
    <col min="14082" max="14082" width="11.5703125" style="2" customWidth="1"/>
    <col min="14083" max="14083" width="18" style="2" customWidth="1"/>
    <col min="14084" max="14084" width="11.7109375" style="2" customWidth="1"/>
    <col min="14085" max="14085" width="15.42578125" style="2" customWidth="1"/>
    <col min="14086" max="14086" width="15.85546875" style="2" customWidth="1"/>
    <col min="14087" max="14087" width="28.42578125" style="2" customWidth="1"/>
    <col min="14088" max="14336" width="50.7109375" style="2"/>
    <col min="14337" max="14337" width="5" style="2" customWidth="1"/>
    <col min="14338" max="14338" width="11.5703125" style="2" customWidth="1"/>
    <col min="14339" max="14339" width="18" style="2" customWidth="1"/>
    <col min="14340" max="14340" width="11.7109375" style="2" customWidth="1"/>
    <col min="14341" max="14341" width="15.42578125" style="2" customWidth="1"/>
    <col min="14342" max="14342" width="15.85546875" style="2" customWidth="1"/>
    <col min="14343" max="14343" width="28.42578125" style="2" customWidth="1"/>
    <col min="14344" max="14592" width="50.7109375" style="2"/>
    <col min="14593" max="14593" width="5" style="2" customWidth="1"/>
    <col min="14594" max="14594" width="11.5703125" style="2" customWidth="1"/>
    <col min="14595" max="14595" width="18" style="2" customWidth="1"/>
    <col min="14596" max="14596" width="11.7109375" style="2" customWidth="1"/>
    <col min="14597" max="14597" width="15.42578125" style="2" customWidth="1"/>
    <col min="14598" max="14598" width="15.85546875" style="2" customWidth="1"/>
    <col min="14599" max="14599" width="28.42578125" style="2" customWidth="1"/>
    <col min="14600" max="14848" width="50.7109375" style="2"/>
    <col min="14849" max="14849" width="5" style="2" customWidth="1"/>
    <col min="14850" max="14850" width="11.5703125" style="2" customWidth="1"/>
    <col min="14851" max="14851" width="18" style="2" customWidth="1"/>
    <col min="14852" max="14852" width="11.7109375" style="2" customWidth="1"/>
    <col min="14853" max="14853" width="15.42578125" style="2" customWidth="1"/>
    <col min="14854" max="14854" width="15.85546875" style="2" customWidth="1"/>
    <col min="14855" max="14855" width="28.42578125" style="2" customWidth="1"/>
    <col min="14856" max="15104" width="50.7109375" style="2"/>
    <col min="15105" max="15105" width="5" style="2" customWidth="1"/>
    <col min="15106" max="15106" width="11.5703125" style="2" customWidth="1"/>
    <col min="15107" max="15107" width="18" style="2" customWidth="1"/>
    <col min="15108" max="15108" width="11.7109375" style="2" customWidth="1"/>
    <col min="15109" max="15109" width="15.42578125" style="2" customWidth="1"/>
    <col min="15110" max="15110" width="15.85546875" style="2" customWidth="1"/>
    <col min="15111" max="15111" width="28.42578125" style="2" customWidth="1"/>
    <col min="15112" max="15360" width="50.7109375" style="2"/>
    <col min="15361" max="15361" width="5" style="2" customWidth="1"/>
    <col min="15362" max="15362" width="11.5703125" style="2" customWidth="1"/>
    <col min="15363" max="15363" width="18" style="2" customWidth="1"/>
    <col min="15364" max="15364" width="11.7109375" style="2" customWidth="1"/>
    <col min="15365" max="15365" width="15.42578125" style="2" customWidth="1"/>
    <col min="15366" max="15366" width="15.85546875" style="2" customWidth="1"/>
    <col min="15367" max="15367" width="28.42578125" style="2" customWidth="1"/>
    <col min="15368" max="15616" width="50.7109375" style="2"/>
    <col min="15617" max="15617" width="5" style="2" customWidth="1"/>
    <col min="15618" max="15618" width="11.5703125" style="2" customWidth="1"/>
    <col min="15619" max="15619" width="18" style="2" customWidth="1"/>
    <col min="15620" max="15620" width="11.7109375" style="2" customWidth="1"/>
    <col min="15621" max="15621" width="15.42578125" style="2" customWidth="1"/>
    <col min="15622" max="15622" width="15.85546875" style="2" customWidth="1"/>
    <col min="15623" max="15623" width="28.42578125" style="2" customWidth="1"/>
    <col min="15624" max="15872" width="50.7109375" style="2"/>
    <col min="15873" max="15873" width="5" style="2" customWidth="1"/>
    <col min="15874" max="15874" width="11.5703125" style="2" customWidth="1"/>
    <col min="15875" max="15875" width="18" style="2" customWidth="1"/>
    <col min="15876" max="15876" width="11.7109375" style="2" customWidth="1"/>
    <col min="15877" max="15877" width="15.42578125" style="2" customWidth="1"/>
    <col min="15878" max="15878" width="15.85546875" style="2" customWidth="1"/>
    <col min="15879" max="15879" width="28.42578125" style="2" customWidth="1"/>
    <col min="15880" max="16128" width="50.7109375" style="2"/>
    <col min="16129" max="16129" width="5" style="2" customWidth="1"/>
    <col min="16130" max="16130" width="11.5703125" style="2" customWidth="1"/>
    <col min="16131" max="16131" width="18" style="2" customWidth="1"/>
    <col min="16132" max="16132" width="11.7109375" style="2" customWidth="1"/>
    <col min="16133" max="16133" width="15.42578125" style="2" customWidth="1"/>
    <col min="16134" max="16134" width="15.85546875" style="2" customWidth="1"/>
    <col min="16135" max="16135" width="28.42578125" style="2" customWidth="1"/>
    <col min="16136" max="16384" width="50.7109375" style="2"/>
  </cols>
  <sheetData>
    <row r="1" spans="1:12" ht="51.75" customHeight="1">
      <c r="A1" s="95"/>
      <c r="B1" s="96"/>
      <c r="C1" s="99" t="s">
        <v>0</v>
      </c>
      <c r="D1" s="100"/>
      <c r="E1" s="1"/>
      <c r="F1" s="47" t="s">
        <v>1</v>
      </c>
      <c r="G1" s="103" t="s">
        <v>2</v>
      </c>
      <c r="H1" s="2">
        <v>31</v>
      </c>
    </row>
    <row r="2" spans="1:12" ht="13.9" customHeight="1" thickBot="1">
      <c r="A2" s="97"/>
      <c r="B2" s="98"/>
      <c r="C2" s="101"/>
      <c r="D2" s="102"/>
      <c r="E2" s="3"/>
      <c r="F2" s="4" t="s">
        <v>3</v>
      </c>
      <c r="G2" s="104"/>
    </row>
    <row r="3" spans="1:12" ht="18.75" customHeight="1">
      <c r="A3" s="36"/>
      <c r="B3" s="22" t="s">
        <v>4</v>
      </c>
      <c r="C3" s="23">
        <f ca="1">TODAY()</f>
        <v>46128</v>
      </c>
      <c r="D3" s="24"/>
      <c r="E3" s="22" t="s">
        <v>5</v>
      </c>
      <c r="F3" s="25">
        <v>17835560</v>
      </c>
      <c r="G3" s="26"/>
    </row>
    <row r="4" spans="1:12" ht="9" customHeight="1">
      <c r="A4" s="37"/>
      <c r="B4" s="27"/>
      <c r="C4" s="28"/>
      <c r="D4" s="28"/>
      <c r="E4" s="28"/>
      <c r="F4" s="28"/>
      <c r="G4" s="29"/>
    </row>
    <row r="5" spans="1:12" ht="18" customHeight="1">
      <c r="A5" s="38"/>
      <c r="B5" s="30"/>
      <c r="C5" s="31" t="s">
        <v>6</v>
      </c>
      <c r="D5" s="32" t="s">
        <v>7</v>
      </c>
      <c r="E5" s="33" t="s">
        <v>8</v>
      </c>
      <c r="G5" s="34" t="s">
        <v>9</v>
      </c>
    </row>
    <row r="6" spans="1:12" ht="16.5" customHeight="1">
      <c r="A6" s="93" t="s">
        <v>10</v>
      </c>
      <c r="B6" s="93"/>
      <c r="C6" s="93"/>
      <c r="D6" s="90" t="str">
        <f>+VLOOKUP(H1,Personal!$A$1:$J$105,7,FALSE)</f>
        <v>DANIEL CEDANO ADRIANZEN</v>
      </c>
      <c r="E6" s="91"/>
      <c r="F6" s="91"/>
      <c r="G6" s="92"/>
    </row>
    <row r="7" spans="1:12" ht="16.5" customHeight="1">
      <c r="A7" s="105" t="s">
        <v>11</v>
      </c>
      <c r="B7" s="106"/>
      <c r="C7" s="107"/>
      <c r="D7" s="90" t="str">
        <f>+VLOOKUP(H1,Personal!$A$1:$J$105,10,FALSE)</f>
        <v>PLANNER DE OPERACIONES</v>
      </c>
      <c r="E7" s="91"/>
      <c r="F7" s="91"/>
      <c r="G7" s="92"/>
    </row>
    <row r="8" spans="1:12" ht="16.5" customHeight="1">
      <c r="A8" s="93" t="s">
        <v>12</v>
      </c>
      <c r="B8" s="93"/>
      <c r="C8" s="93"/>
      <c r="D8" s="90" t="str">
        <f>+VLOOKUP(H1,Personal!$A$1:$J$105,6,FALSE)</f>
        <v>46007013</v>
      </c>
      <c r="E8" s="91"/>
      <c r="F8" s="91"/>
      <c r="G8" s="92"/>
    </row>
    <row r="9" spans="1:12" ht="16.5" customHeight="1">
      <c r="A9" s="93" t="s">
        <v>13</v>
      </c>
      <c r="B9" s="93"/>
      <c r="C9" s="93"/>
      <c r="D9" s="90">
        <v>266325</v>
      </c>
      <c r="E9" s="91"/>
      <c r="F9" s="91"/>
      <c r="G9" s="92"/>
    </row>
    <row r="10" spans="1:12" ht="16.5" customHeight="1">
      <c r="A10" s="94" t="s">
        <v>14</v>
      </c>
      <c r="B10" s="94"/>
      <c r="C10" s="94"/>
      <c r="D10" s="90" t="str">
        <f>+VLOOKUP($H$1,Personal!$A$1:$J$105,5,FALSE)</f>
        <v>BCP</v>
      </c>
      <c r="E10" s="91"/>
      <c r="F10" s="91"/>
      <c r="G10" s="92"/>
    </row>
    <row r="11" spans="1:12" ht="16.5" customHeight="1">
      <c r="A11" s="94" t="s">
        <v>16</v>
      </c>
      <c r="B11" s="94"/>
      <c r="C11" s="94"/>
      <c r="D11" s="90" t="str">
        <f>+VLOOKUP($H$1,Personal!$A$1:$J$105,4,FALSE)</f>
        <v>00219419039936809093</v>
      </c>
      <c r="E11" s="91"/>
      <c r="F11" s="91"/>
      <c r="G11" s="92"/>
    </row>
    <row r="12" spans="1:12" ht="16.5" customHeight="1">
      <c r="A12" s="94" t="s">
        <v>17</v>
      </c>
      <c r="B12" s="94"/>
      <c r="C12" s="94"/>
      <c r="D12" s="109" t="s">
        <v>163</v>
      </c>
      <c r="E12" s="110"/>
      <c r="F12" s="110"/>
      <c r="G12" s="111"/>
    </row>
    <row r="13" spans="1:12" ht="16.5" customHeight="1">
      <c r="A13" s="43" t="s">
        <v>18</v>
      </c>
      <c r="B13" s="44"/>
      <c r="C13" s="45"/>
      <c r="D13" s="65">
        <v>46113</v>
      </c>
      <c r="E13" s="42"/>
      <c r="F13" s="41" t="s">
        <v>19</v>
      </c>
      <c r="G13" s="65">
        <f>D13+29</f>
        <v>46142</v>
      </c>
    </row>
    <row r="14" spans="1:12" ht="20.100000000000001" customHeight="1">
      <c r="A14" s="112" t="s">
        <v>20</v>
      </c>
      <c r="B14" s="113"/>
      <c r="C14" s="113"/>
      <c r="D14" s="113"/>
      <c r="E14" s="113"/>
      <c r="F14" s="113"/>
      <c r="G14" s="114"/>
    </row>
    <row r="15" spans="1:12" s="6" customFormat="1" ht="24" customHeight="1">
      <c r="A15" s="5"/>
      <c r="B15" s="108" t="s">
        <v>21</v>
      </c>
      <c r="C15" s="108"/>
      <c r="D15" s="5" t="s">
        <v>22</v>
      </c>
      <c r="E15" s="5" t="s">
        <v>23</v>
      </c>
      <c r="F15" s="5" t="s">
        <v>24</v>
      </c>
      <c r="G15" s="5" t="s">
        <v>25</v>
      </c>
      <c r="H15" s="2"/>
      <c r="I15" s="2"/>
      <c r="J15" s="2"/>
      <c r="K15" s="2"/>
      <c r="L15" s="2"/>
    </row>
    <row r="16" spans="1:12" s="6" customFormat="1" ht="18" customHeight="1">
      <c r="A16" s="61" t="s">
        <v>50</v>
      </c>
      <c r="B16" s="115" t="s">
        <v>158</v>
      </c>
      <c r="C16" s="115"/>
      <c r="D16" s="62">
        <v>1710</v>
      </c>
      <c r="E16" s="63">
        <v>1</v>
      </c>
      <c r="F16" s="64" t="s">
        <v>57</v>
      </c>
      <c r="G16" s="64">
        <f t="shared" ref="G16" si="0">D16*E16</f>
        <v>1710</v>
      </c>
      <c r="H16" s="2"/>
      <c r="I16" s="2"/>
      <c r="J16" s="2"/>
      <c r="K16" s="2"/>
      <c r="L16" s="2"/>
    </row>
    <row r="17" spans="1:12" s="6" customFormat="1" ht="18" customHeight="1">
      <c r="A17" s="61" t="s">
        <v>51</v>
      </c>
      <c r="B17" s="115" t="s">
        <v>159</v>
      </c>
      <c r="C17" s="115"/>
      <c r="D17" s="62">
        <v>700</v>
      </c>
      <c r="E17" s="63">
        <v>1</v>
      </c>
      <c r="F17" s="64" t="s">
        <v>57</v>
      </c>
      <c r="G17" s="64">
        <f t="shared" ref="G17:G18" si="1">D17*E17</f>
        <v>700</v>
      </c>
      <c r="H17" s="2"/>
      <c r="I17" s="2"/>
      <c r="J17" s="2"/>
      <c r="K17" s="2"/>
      <c r="L17" s="2"/>
    </row>
    <row r="18" spans="1:12" s="6" customFormat="1" ht="18" customHeight="1">
      <c r="A18" s="61" t="s">
        <v>61</v>
      </c>
      <c r="B18" s="115" t="s">
        <v>160</v>
      </c>
      <c r="C18" s="115"/>
      <c r="D18" s="62">
        <v>0</v>
      </c>
      <c r="E18" s="63">
        <v>1</v>
      </c>
      <c r="F18" s="64" t="s">
        <v>57</v>
      </c>
      <c r="G18" s="64">
        <f t="shared" si="1"/>
        <v>0</v>
      </c>
      <c r="H18" s="2"/>
      <c r="I18" s="2"/>
      <c r="J18" s="2"/>
      <c r="K18" s="2"/>
      <c r="L18" s="2"/>
    </row>
    <row r="19" spans="1:12" s="6" customFormat="1" ht="18" customHeight="1">
      <c r="A19" s="61" t="s">
        <v>63</v>
      </c>
      <c r="B19" s="115" t="s">
        <v>161</v>
      </c>
      <c r="C19" s="115"/>
      <c r="D19" s="62">
        <v>0</v>
      </c>
      <c r="E19" s="63">
        <v>1</v>
      </c>
      <c r="F19" s="64" t="s">
        <v>57</v>
      </c>
      <c r="G19" s="64">
        <f t="shared" ref="G19:G20" si="2">D19*E19</f>
        <v>0</v>
      </c>
      <c r="H19" s="2"/>
      <c r="I19" s="2"/>
      <c r="J19" s="2"/>
      <c r="K19" s="2"/>
      <c r="L19" s="2"/>
    </row>
    <row r="20" spans="1:12" s="6" customFormat="1" ht="18" customHeight="1" thickBot="1">
      <c r="A20" s="61" t="s">
        <v>65</v>
      </c>
      <c r="B20" s="116" t="s">
        <v>162</v>
      </c>
      <c r="C20" s="117"/>
      <c r="D20" s="62">
        <v>760</v>
      </c>
      <c r="E20" s="63">
        <v>1</v>
      </c>
      <c r="F20" s="64" t="s">
        <v>57</v>
      </c>
      <c r="G20" s="64">
        <f t="shared" si="2"/>
        <v>760</v>
      </c>
      <c r="H20" s="2"/>
      <c r="I20" s="2"/>
      <c r="J20" s="2"/>
      <c r="K20" s="2"/>
      <c r="L20" s="2"/>
    </row>
    <row r="21" spans="1:12" ht="17.45" customHeight="1" thickBot="1">
      <c r="A21" s="7"/>
      <c r="B21" s="8"/>
      <c r="C21" s="8"/>
      <c r="D21" s="8"/>
      <c r="E21" s="74" t="s">
        <v>26</v>
      </c>
      <c r="F21" s="75"/>
      <c r="G21" s="35">
        <f>SUM(G16:G20)</f>
        <v>3170</v>
      </c>
      <c r="I21" s="66"/>
    </row>
    <row r="22" spans="1:12" ht="23.25" customHeight="1">
      <c r="A22" s="76" t="s">
        <v>27</v>
      </c>
      <c r="B22" s="77"/>
      <c r="C22" s="77"/>
      <c r="D22" s="77"/>
      <c r="E22" s="77"/>
      <c r="F22" s="77"/>
      <c r="G22" s="78"/>
    </row>
    <row r="23" spans="1:12" ht="35.450000000000003" customHeight="1">
      <c r="A23" s="79" t="s">
        <v>164</v>
      </c>
      <c r="B23" s="80"/>
      <c r="C23" s="80"/>
      <c r="D23" s="80"/>
      <c r="E23" s="80"/>
      <c r="F23" s="80"/>
      <c r="G23" s="81"/>
    </row>
    <row r="24" spans="1:12" ht="21" customHeight="1">
      <c r="A24" s="82" t="s">
        <v>28</v>
      </c>
      <c r="B24" s="83"/>
      <c r="C24" s="83"/>
      <c r="D24" s="83"/>
      <c r="E24" s="83"/>
      <c r="F24" s="84"/>
      <c r="G24" s="85"/>
    </row>
    <row r="25" spans="1:12" s="6" customFormat="1" ht="21" customHeight="1">
      <c r="A25" s="86" t="s">
        <v>29</v>
      </c>
      <c r="B25" s="87"/>
      <c r="C25" s="9" t="s">
        <v>30</v>
      </c>
      <c r="D25" s="86" t="s">
        <v>31</v>
      </c>
      <c r="E25" s="87"/>
      <c r="F25" s="10" t="s">
        <v>30</v>
      </c>
      <c r="G25" s="88" t="s">
        <v>32</v>
      </c>
      <c r="H25" s="2"/>
      <c r="I25" s="2"/>
      <c r="J25" s="2"/>
      <c r="K25" s="2"/>
      <c r="L25" s="2"/>
    </row>
    <row r="26" spans="1:12" s="6" customFormat="1" ht="21" customHeight="1">
      <c r="A26" s="67" t="s">
        <v>33</v>
      </c>
      <c r="B26" s="68"/>
      <c r="C26" s="11" t="s">
        <v>34</v>
      </c>
      <c r="D26" s="39" t="s">
        <v>33</v>
      </c>
      <c r="E26" s="72" t="s">
        <v>35</v>
      </c>
      <c r="F26" s="73"/>
      <c r="G26" s="89"/>
    </row>
    <row r="27" spans="1:12" s="6" customFormat="1" ht="21" customHeight="1">
      <c r="A27" s="67" t="s">
        <v>36</v>
      </c>
      <c r="B27" s="68"/>
      <c r="C27" s="11" t="s">
        <v>37</v>
      </c>
      <c r="D27" s="39" t="s">
        <v>36</v>
      </c>
      <c r="E27" s="72" t="s">
        <v>38</v>
      </c>
      <c r="F27" s="73"/>
      <c r="G27" s="12" t="s">
        <v>39</v>
      </c>
    </row>
    <row r="28" spans="1:12" s="6" customFormat="1" ht="18" customHeight="1">
      <c r="A28" s="67" t="s">
        <v>40</v>
      </c>
      <c r="B28" s="68"/>
      <c r="C28" s="11"/>
      <c r="D28" s="39" t="s">
        <v>40</v>
      </c>
      <c r="E28" s="40"/>
      <c r="F28" s="13"/>
      <c r="G28" s="12" t="s">
        <v>41</v>
      </c>
    </row>
    <row r="29" spans="1:12" s="6" customFormat="1" ht="62.45" customHeight="1">
      <c r="A29" s="69"/>
      <c r="B29" s="70"/>
      <c r="C29" s="71"/>
      <c r="D29" s="14"/>
      <c r="E29" s="15"/>
      <c r="F29" s="16"/>
      <c r="G29" s="17" t="s">
        <v>42</v>
      </c>
    </row>
  </sheetData>
  <mergeCells count="37">
    <mergeCell ref="B16:C16"/>
    <mergeCell ref="B17:C17"/>
    <mergeCell ref="B18:C18"/>
    <mergeCell ref="B19:C19"/>
    <mergeCell ref="B20:C20"/>
    <mergeCell ref="D11:G11"/>
    <mergeCell ref="B15:C15"/>
    <mergeCell ref="A11:C11"/>
    <mergeCell ref="A12:C12"/>
    <mergeCell ref="D12:G12"/>
    <mergeCell ref="A14:G14"/>
    <mergeCell ref="D7:G7"/>
    <mergeCell ref="A1:B2"/>
    <mergeCell ref="C1:D2"/>
    <mergeCell ref="G1:G2"/>
    <mergeCell ref="A6:C6"/>
    <mergeCell ref="D6:G6"/>
    <mergeCell ref="A7:C7"/>
    <mergeCell ref="D8:G8"/>
    <mergeCell ref="A9:C9"/>
    <mergeCell ref="D9:G9"/>
    <mergeCell ref="A10:C10"/>
    <mergeCell ref="D10:G10"/>
    <mergeCell ref="A8:C8"/>
    <mergeCell ref="A28:B28"/>
    <mergeCell ref="A29:C29"/>
    <mergeCell ref="A27:B27"/>
    <mergeCell ref="E27:F27"/>
    <mergeCell ref="E21:F21"/>
    <mergeCell ref="A22:G22"/>
    <mergeCell ref="A23:G23"/>
    <mergeCell ref="A24:G24"/>
    <mergeCell ref="A25:B25"/>
    <mergeCell ref="D25:E25"/>
    <mergeCell ref="G25:G26"/>
    <mergeCell ref="A26:B26"/>
    <mergeCell ref="E26:F26"/>
  </mergeCells>
  <printOptions horizontalCentered="1"/>
  <pageMargins left="0.59055118110236227" right="0.39370078740157483" top="0.51181102362204722" bottom="0.51181102362204722" header="0" footer="0"/>
  <pageSetup paperSize="9" scale="91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"/>
  <sheetViews>
    <sheetView zoomScale="80" zoomScaleNormal="80" workbookViewId="0">
      <selection activeCell="G31" sqref="G31"/>
    </sheetView>
  </sheetViews>
  <sheetFormatPr baseColWidth="10" defaultRowHeight="15"/>
  <cols>
    <col min="1" max="3" width="9.42578125" customWidth="1"/>
    <col min="4" max="4" width="26.85546875" customWidth="1"/>
    <col min="6" max="6" width="13" bestFit="1" customWidth="1"/>
    <col min="7" max="7" width="57.7109375" customWidth="1"/>
    <col min="8" max="8" width="11.42578125" customWidth="1"/>
    <col min="9" max="9" width="9.7109375" customWidth="1"/>
    <col min="10" max="10" width="54.140625" style="46" customWidth="1"/>
    <col min="11" max="11" width="3.7109375" customWidth="1"/>
  </cols>
  <sheetData>
    <row r="1" spans="1:10" ht="60">
      <c r="A1" s="18" t="s">
        <v>53</v>
      </c>
      <c r="B1" s="18" t="s">
        <v>43</v>
      </c>
      <c r="C1" s="18" t="s">
        <v>44</v>
      </c>
      <c r="D1" s="18" t="s">
        <v>45</v>
      </c>
      <c r="E1" s="19" t="s">
        <v>55</v>
      </c>
      <c r="F1" s="20" t="s">
        <v>46</v>
      </c>
      <c r="G1" s="18" t="s">
        <v>47</v>
      </c>
      <c r="H1" s="18" t="s">
        <v>48</v>
      </c>
      <c r="I1" s="18" t="s">
        <v>49</v>
      </c>
      <c r="J1" s="18" t="s">
        <v>54</v>
      </c>
    </row>
    <row r="2" spans="1:10">
      <c r="A2" s="50">
        <v>1</v>
      </c>
      <c r="B2" s="50" t="s">
        <v>50</v>
      </c>
      <c r="C2" s="51" t="s">
        <v>50</v>
      </c>
      <c r="D2" s="51" t="s">
        <v>120</v>
      </c>
      <c r="E2" s="52" t="s">
        <v>58</v>
      </c>
      <c r="F2" s="51">
        <v>47145917</v>
      </c>
      <c r="G2" s="52" t="s">
        <v>66</v>
      </c>
      <c r="H2" s="51" t="s">
        <v>52</v>
      </c>
      <c r="I2" s="53"/>
      <c r="J2" s="52" t="s">
        <v>102</v>
      </c>
    </row>
    <row r="3" spans="1:10">
      <c r="A3" s="50">
        <v>2</v>
      </c>
      <c r="B3" s="50" t="s">
        <v>50</v>
      </c>
      <c r="C3" s="51" t="s">
        <v>51</v>
      </c>
      <c r="D3" s="51" t="s">
        <v>121</v>
      </c>
      <c r="E3" s="52" t="s">
        <v>56</v>
      </c>
      <c r="F3" s="51" t="s">
        <v>94</v>
      </c>
      <c r="G3" s="52" t="s">
        <v>67</v>
      </c>
      <c r="H3" s="51" t="s">
        <v>52</v>
      </c>
      <c r="I3" s="53"/>
      <c r="J3" s="52" t="s">
        <v>103</v>
      </c>
    </row>
    <row r="4" spans="1:10">
      <c r="A4" s="50">
        <v>3</v>
      </c>
      <c r="B4" s="50" t="s">
        <v>50</v>
      </c>
      <c r="C4" s="51" t="s">
        <v>50</v>
      </c>
      <c r="D4" s="51" t="s">
        <v>122</v>
      </c>
      <c r="E4" s="52" t="s">
        <v>15</v>
      </c>
      <c r="F4" s="51">
        <v>40798334</v>
      </c>
      <c r="G4" s="52" t="s">
        <v>68</v>
      </c>
      <c r="H4" s="51" t="s">
        <v>52</v>
      </c>
      <c r="I4" s="53"/>
      <c r="J4" s="52" t="s">
        <v>104</v>
      </c>
    </row>
    <row r="5" spans="1:10">
      <c r="A5" s="50">
        <v>4</v>
      </c>
      <c r="B5" s="50" t="s">
        <v>50</v>
      </c>
      <c r="C5" s="51" t="s">
        <v>51</v>
      </c>
      <c r="D5" s="51" t="s">
        <v>123</v>
      </c>
      <c r="E5" s="52" t="s">
        <v>15</v>
      </c>
      <c r="F5" s="51">
        <v>70260358</v>
      </c>
      <c r="G5" s="52" t="s">
        <v>69</v>
      </c>
      <c r="H5" s="51" t="s">
        <v>52</v>
      </c>
      <c r="I5" s="53"/>
      <c r="J5" s="52" t="s">
        <v>102</v>
      </c>
    </row>
    <row r="6" spans="1:10">
      <c r="A6" s="50">
        <v>5</v>
      </c>
      <c r="B6" s="50" t="s">
        <v>50</v>
      </c>
      <c r="C6" s="51" t="s">
        <v>50</v>
      </c>
      <c r="D6" s="51" t="s">
        <v>124</v>
      </c>
      <c r="E6" s="52" t="s">
        <v>15</v>
      </c>
      <c r="F6" s="51">
        <v>42194187</v>
      </c>
      <c r="G6" s="52" t="s">
        <v>70</v>
      </c>
      <c r="H6" s="51" t="s">
        <v>52</v>
      </c>
      <c r="I6" s="53"/>
      <c r="J6" s="52" t="s">
        <v>105</v>
      </c>
    </row>
    <row r="7" spans="1:10">
      <c r="A7" s="50">
        <v>6</v>
      </c>
      <c r="B7" s="50" t="s">
        <v>50</v>
      </c>
      <c r="C7" s="51" t="s">
        <v>50</v>
      </c>
      <c r="D7" s="51" t="s">
        <v>126</v>
      </c>
      <c r="E7" s="52" t="s">
        <v>15</v>
      </c>
      <c r="F7" s="51">
        <v>43338708</v>
      </c>
      <c r="G7" s="52" t="s">
        <v>72</v>
      </c>
      <c r="H7" s="51" t="s">
        <v>52</v>
      </c>
      <c r="I7" s="53"/>
      <c r="J7" s="52" t="s">
        <v>105</v>
      </c>
    </row>
    <row r="8" spans="1:10">
      <c r="A8" s="50">
        <v>7</v>
      </c>
      <c r="B8" s="50" t="s">
        <v>50</v>
      </c>
      <c r="C8" s="51" t="s">
        <v>51</v>
      </c>
      <c r="D8" s="51" t="s">
        <v>127</v>
      </c>
      <c r="E8" s="52" t="s">
        <v>15</v>
      </c>
      <c r="F8" s="51">
        <v>46083370</v>
      </c>
      <c r="G8" s="52" t="s">
        <v>73</v>
      </c>
      <c r="H8" s="51" t="s">
        <v>52</v>
      </c>
      <c r="I8" s="53"/>
      <c r="J8" s="52" t="s">
        <v>107</v>
      </c>
    </row>
    <row r="9" spans="1:10">
      <c r="A9" s="50">
        <v>8</v>
      </c>
      <c r="B9" s="50" t="s">
        <v>50</v>
      </c>
      <c r="C9" s="51" t="s">
        <v>51</v>
      </c>
      <c r="D9" s="51" t="s">
        <v>128</v>
      </c>
      <c r="E9" s="52" t="s">
        <v>15</v>
      </c>
      <c r="F9" s="51">
        <v>10125045</v>
      </c>
      <c r="G9" s="52" t="s">
        <v>74</v>
      </c>
      <c r="H9" s="51" t="s">
        <v>52</v>
      </c>
      <c r="I9" s="53"/>
      <c r="J9" s="52" t="s">
        <v>108</v>
      </c>
    </row>
    <row r="10" spans="1:10">
      <c r="A10" s="50">
        <v>9</v>
      </c>
      <c r="B10" s="50" t="s">
        <v>50</v>
      </c>
      <c r="C10" s="51" t="s">
        <v>51</v>
      </c>
      <c r="D10" s="51" t="s">
        <v>125</v>
      </c>
      <c r="E10" s="52" t="s">
        <v>15</v>
      </c>
      <c r="F10" s="51" t="s">
        <v>95</v>
      </c>
      <c r="G10" s="52" t="s">
        <v>71</v>
      </c>
      <c r="H10" s="51" t="s">
        <v>52</v>
      </c>
      <c r="I10" s="53"/>
      <c r="J10" s="52" t="s">
        <v>106</v>
      </c>
    </row>
    <row r="11" spans="1:10">
      <c r="A11" s="50">
        <v>10</v>
      </c>
      <c r="B11" s="50" t="s">
        <v>50</v>
      </c>
      <c r="C11" s="51" t="s">
        <v>50</v>
      </c>
      <c r="D11" s="51" t="s">
        <v>129</v>
      </c>
      <c r="E11" s="52" t="s">
        <v>15</v>
      </c>
      <c r="F11" s="51" t="s">
        <v>96</v>
      </c>
      <c r="G11" s="52" t="s">
        <v>75</v>
      </c>
      <c r="H11" s="51" t="s">
        <v>52</v>
      </c>
      <c r="I11" s="53"/>
      <c r="J11" s="52" t="s">
        <v>104</v>
      </c>
    </row>
    <row r="12" spans="1:10">
      <c r="A12" s="50">
        <v>11</v>
      </c>
      <c r="B12" s="50" t="s">
        <v>50</v>
      </c>
      <c r="C12" s="51" t="s">
        <v>51</v>
      </c>
      <c r="D12" s="51" t="s">
        <v>130</v>
      </c>
      <c r="E12" s="52" t="s">
        <v>56</v>
      </c>
      <c r="F12" s="51">
        <v>10308372</v>
      </c>
      <c r="G12" s="52" t="s">
        <v>76</v>
      </c>
      <c r="H12" s="51" t="s">
        <v>52</v>
      </c>
      <c r="I12" s="53"/>
      <c r="J12" s="52" t="s">
        <v>109</v>
      </c>
    </row>
    <row r="13" spans="1:10">
      <c r="A13" s="50">
        <v>12</v>
      </c>
      <c r="B13" s="50" t="s">
        <v>50</v>
      </c>
      <c r="C13" s="51" t="s">
        <v>51</v>
      </c>
      <c r="D13" s="51" t="s">
        <v>131</v>
      </c>
      <c r="E13" s="52" t="s">
        <v>58</v>
      </c>
      <c r="F13" s="51">
        <v>73074123</v>
      </c>
      <c r="G13" s="52" t="s">
        <v>77</v>
      </c>
      <c r="H13" s="51" t="s">
        <v>52</v>
      </c>
      <c r="I13" s="53"/>
      <c r="J13" s="52" t="s">
        <v>110</v>
      </c>
    </row>
    <row r="14" spans="1:10">
      <c r="A14" s="50">
        <v>13</v>
      </c>
      <c r="B14" s="50" t="s">
        <v>50</v>
      </c>
      <c r="C14" s="51" t="s">
        <v>51</v>
      </c>
      <c r="D14" s="51" t="s">
        <v>132</v>
      </c>
      <c r="E14" s="52" t="s">
        <v>15</v>
      </c>
      <c r="F14" s="51" t="s">
        <v>97</v>
      </c>
      <c r="G14" s="52" t="s">
        <v>78</v>
      </c>
      <c r="H14" s="51" t="s">
        <v>52</v>
      </c>
      <c r="I14" s="53"/>
      <c r="J14" s="52" t="s">
        <v>105</v>
      </c>
    </row>
    <row r="15" spans="1:10">
      <c r="A15" s="50">
        <v>14</v>
      </c>
      <c r="B15" s="50" t="s">
        <v>50</v>
      </c>
      <c r="C15" s="51" t="s">
        <v>51</v>
      </c>
      <c r="D15" s="51" t="s">
        <v>133</v>
      </c>
      <c r="E15" s="52" t="s">
        <v>15</v>
      </c>
      <c r="F15" s="51" t="s">
        <v>98</v>
      </c>
      <c r="G15" s="52" t="s">
        <v>79</v>
      </c>
      <c r="H15" s="51" t="s">
        <v>52</v>
      </c>
      <c r="I15" s="53"/>
      <c r="J15" s="52" t="s">
        <v>111</v>
      </c>
    </row>
    <row r="16" spans="1:10">
      <c r="A16" s="50">
        <v>15</v>
      </c>
      <c r="B16" s="50" t="s">
        <v>50</v>
      </c>
      <c r="C16" s="51" t="s">
        <v>50</v>
      </c>
      <c r="D16" s="51" t="s">
        <v>144</v>
      </c>
      <c r="E16" s="52" t="s">
        <v>60</v>
      </c>
      <c r="F16" s="51">
        <v>10745134</v>
      </c>
      <c r="G16" s="52" t="s">
        <v>80</v>
      </c>
      <c r="H16" s="51" t="s">
        <v>52</v>
      </c>
      <c r="I16" s="53"/>
      <c r="J16" s="52" t="s">
        <v>112</v>
      </c>
    </row>
    <row r="17" spans="1:10">
      <c r="A17" s="50">
        <v>16</v>
      </c>
      <c r="B17" s="50" t="s">
        <v>50</v>
      </c>
      <c r="C17" s="51" t="s">
        <v>51</v>
      </c>
      <c r="D17" s="51" t="s">
        <v>134</v>
      </c>
      <c r="E17" s="52" t="s">
        <v>15</v>
      </c>
      <c r="F17" s="51" t="s">
        <v>99</v>
      </c>
      <c r="G17" s="52" t="s">
        <v>81</v>
      </c>
      <c r="H17" s="51" t="s">
        <v>52</v>
      </c>
      <c r="I17" s="53"/>
      <c r="J17" s="52" t="s">
        <v>113</v>
      </c>
    </row>
    <row r="18" spans="1:10">
      <c r="A18" s="50">
        <v>17</v>
      </c>
      <c r="B18" s="50" t="s">
        <v>50</v>
      </c>
      <c r="C18" s="51" t="s">
        <v>51</v>
      </c>
      <c r="D18" s="51" t="s">
        <v>135</v>
      </c>
      <c r="E18" s="52" t="s">
        <v>58</v>
      </c>
      <c r="F18" s="51">
        <v>41202960</v>
      </c>
      <c r="G18" s="52" t="s">
        <v>82</v>
      </c>
      <c r="H18" s="51" t="s">
        <v>52</v>
      </c>
      <c r="I18" s="53"/>
      <c r="J18" s="52" t="s">
        <v>114</v>
      </c>
    </row>
    <row r="19" spans="1:10">
      <c r="A19" s="50">
        <v>18</v>
      </c>
      <c r="B19" s="50" t="s">
        <v>50</v>
      </c>
      <c r="C19" s="51" t="s">
        <v>51</v>
      </c>
      <c r="D19" s="51" t="s">
        <v>136</v>
      </c>
      <c r="E19" s="52" t="s">
        <v>58</v>
      </c>
      <c r="F19" s="51">
        <v>10327435</v>
      </c>
      <c r="G19" s="52" t="s">
        <v>83</v>
      </c>
      <c r="H19" s="51" t="s">
        <v>52</v>
      </c>
      <c r="I19" s="53"/>
      <c r="J19" s="52" t="s">
        <v>107</v>
      </c>
    </row>
    <row r="20" spans="1:10">
      <c r="A20" s="50">
        <v>19</v>
      </c>
      <c r="B20" s="50" t="s">
        <v>50</v>
      </c>
      <c r="C20" s="51" t="s">
        <v>50</v>
      </c>
      <c r="D20" s="51" t="s">
        <v>137</v>
      </c>
      <c r="E20" s="52" t="s">
        <v>58</v>
      </c>
      <c r="F20" s="51">
        <v>41007683</v>
      </c>
      <c r="G20" s="52" t="s">
        <v>84</v>
      </c>
      <c r="H20" s="51" t="s">
        <v>52</v>
      </c>
      <c r="I20" s="53"/>
      <c r="J20" s="52" t="s">
        <v>104</v>
      </c>
    </row>
    <row r="21" spans="1:10">
      <c r="A21" s="50">
        <v>20</v>
      </c>
      <c r="B21" s="50" t="s">
        <v>50</v>
      </c>
      <c r="C21" s="51" t="s">
        <v>50</v>
      </c>
      <c r="D21" s="51" t="s">
        <v>145</v>
      </c>
      <c r="E21" s="52" t="s">
        <v>60</v>
      </c>
      <c r="F21" s="51" t="s">
        <v>100</v>
      </c>
      <c r="G21" s="52" t="s">
        <v>85</v>
      </c>
      <c r="H21" s="51" t="s">
        <v>52</v>
      </c>
      <c r="I21" s="53"/>
      <c r="J21" s="52" t="s">
        <v>115</v>
      </c>
    </row>
    <row r="22" spans="1:10">
      <c r="A22" s="50">
        <v>21</v>
      </c>
      <c r="B22" s="50" t="s">
        <v>50</v>
      </c>
      <c r="C22" s="51" t="s">
        <v>50</v>
      </c>
      <c r="D22" s="51" t="s">
        <v>138</v>
      </c>
      <c r="E22" s="52" t="s">
        <v>56</v>
      </c>
      <c r="F22" s="51">
        <v>72668360</v>
      </c>
      <c r="G22" s="52" t="s">
        <v>86</v>
      </c>
      <c r="H22" s="51" t="s">
        <v>52</v>
      </c>
      <c r="I22" s="53"/>
      <c r="J22" s="52" t="s">
        <v>116</v>
      </c>
    </row>
    <row r="23" spans="1:10">
      <c r="A23" s="50">
        <v>22</v>
      </c>
      <c r="B23" s="50" t="s">
        <v>50</v>
      </c>
      <c r="C23" s="51" t="s">
        <v>51</v>
      </c>
      <c r="D23" s="60" t="s">
        <v>146</v>
      </c>
      <c r="E23" s="52" t="s">
        <v>60</v>
      </c>
      <c r="F23" s="51" t="s">
        <v>101</v>
      </c>
      <c r="G23" s="52" t="s">
        <v>87</v>
      </c>
      <c r="H23" s="51" t="s">
        <v>52</v>
      </c>
      <c r="I23" s="53"/>
      <c r="J23" s="52" t="s">
        <v>117</v>
      </c>
    </row>
    <row r="24" spans="1:10">
      <c r="A24" s="50">
        <v>23</v>
      </c>
      <c r="B24" s="50" t="s">
        <v>50</v>
      </c>
      <c r="C24" s="51" t="s">
        <v>51</v>
      </c>
      <c r="D24" s="51" t="s">
        <v>139</v>
      </c>
      <c r="E24" s="52" t="s">
        <v>15</v>
      </c>
      <c r="F24" s="51">
        <v>73263788</v>
      </c>
      <c r="G24" s="52" t="s">
        <v>88</v>
      </c>
      <c r="H24" s="51" t="s">
        <v>52</v>
      </c>
      <c r="I24" s="53"/>
      <c r="J24" s="52" t="s">
        <v>110</v>
      </c>
    </row>
    <row r="25" spans="1:10">
      <c r="A25" s="50">
        <v>24</v>
      </c>
      <c r="B25" s="50" t="s">
        <v>50</v>
      </c>
      <c r="C25" s="51" t="s">
        <v>50</v>
      </c>
      <c r="D25" s="51" t="s">
        <v>140</v>
      </c>
      <c r="E25" s="52" t="s">
        <v>58</v>
      </c>
      <c r="F25" s="51">
        <v>45158394</v>
      </c>
      <c r="G25" s="52" t="s">
        <v>89</v>
      </c>
      <c r="H25" s="51" t="s">
        <v>52</v>
      </c>
      <c r="I25" s="53"/>
      <c r="J25" s="52" t="s">
        <v>118</v>
      </c>
    </row>
    <row r="26" spans="1:10">
      <c r="A26" s="50">
        <v>25</v>
      </c>
      <c r="B26" s="50" t="s">
        <v>50</v>
      </c>
      <c r="C26" s="51" t="s">
        <v>51</v>
      </c>
      <c r="D26" s="51" t="s">
        <v>141</v>
      </c>
      <c r="E26" s="52" t="s">
        <v>58</v>
      </c>
      <c r="F26" s="51">
        <v>72112416</v>
      </c>
      <c r="G26" s="52" t="s">
        <v>90</v>
      </c>
      <c r="H26" s="51" t="s">
        <v>52</v>
      </c>
      <c r="I26" s="53"/>
      <c r="J26" s="52" t="s">
        <v>102</v>
      </c>
    </row>
    <row r="27" spans="1:10">
      <c r="A27" s="50">
        <v>26</v>
      </c>
      <c r="B27" s="50" t="s">
        <v>50</v>
      </c>
      <c r="C27" s="51" t="s">
        <v>51</v>
      </c>
      <c r="D27" s="51" t="s">
        <v>142</v>
      </c>
      <c r="E27" s="52" t="s">
        <v>56</v>
      </c>
      <c r="F27" s="51">
        <v>46789162</v>
      </c>
      <c r="G27" s="52" t="s">
        <v>91</v>
      </c>
      <c r="H27" s="51" t="s">
        <v>52</v>
      </c>
      <c r="I27" s="53"/>
      <c r="J27" s="52" t="s">
        <v>111</v>
      </c>
    </row>
    <row r="28" spans="1:10">
      <c r="A28" s="50">
        <v>27</v>
      </c>
      <c r="B28" s="50" t="s">
        <v>50</v>
      </c>
      <c r="C28" s="51" t="s">
        <v>51</v>
      </c>
      <c r="D28" s="51" t="s">
        <v>143</v>
      </c>
      <c r="E28" s="52" t="s">
        <v>56</v>
      </c>
      <c r="F28" s="51">
        <v>42664573</v>
      </c>
      <c r="G28" s="52" t="s">
        <v>92</v>
      </c>
      <c r="H28" s="51" t="s">
        <v>52</v>
      </c>
      <c r="I28" s="53"/>
      <c r="J28" s="52" t="s">
        <v>107</v>
      </c>
    </row>
    <row r="29" spans="1:10">
      <c r="A29" s="50">
        <v>28</v>
      </c>
      <c r="B29" s="50" t="s">
        <v>50</v>
      </c>
      <c r="C29" s="51" t="s">
        <v>50</v>
      </c>
      <c r="D29" s="51" t="s">
        <v>147</v>
      </c>
      <c r="E29" s="52" t="s">
        <v>60</v>
      </c>
      <c r="F29" s="51">
        <v>10472635</v>
      </c>
      <c r="G29" s="52" t="s">
        <v>93</v>
      </c>
      <c r="H29" s="51" t="s">
        <v>52</v>
      </c>
      <c r="I29" s="53"/>
      <c r="J29" s="52" t="s">
        <v>119</v>
      </c>
    </row>
    <row r="30" spans="1:10">
      <c r="A30" s="50">
        <v>29</v>
      </c>
      <c r="B30" s="50" t="s">
        <v>50</v>
      </c>
      <c r="C30" s="51" t="s">
        <v>50</v>
      </c>
      <c r="D30" s="51" t="s">
        <v>62</v>
      </c>
      <c r="E30" s="52" t="s">
        <v>15</v>
      </c>
      <c r="F30" s="51" t="s">
        <v>157</v>
      </c>
      <c r="G30" s="52" t="s">
        <v>148</v>
      </c>
      <c r="H30" s="51" t="s">
        <v>52</v>
      </c>
      <c r="I30" s="53"/>
      <c r="J30" s="52" t="s">
        <v>59</v>
      </c>
    </row>
    <row r="31" spans="1:10">
      <c r="A31" s="50">
        <v>30</v>
      </c>
      <c r="B31" s="50" t="s">
        <v>50</v>
      </c>
      <c r="C31" s="51" t="s">
        <v>50</v>
      </c>
      <c r="D31" s="51" t="s">
        <v>151</v>
      </c>
      <c r="E31" s="52" t="s">
        <v>56</v>
      </c>
      <c r="F31" s="51" t="s">
        <v>156</v>
      </c>
      <c r="G31" s="52" t="s">
        <v>149</v>
      </c>
      <c r="H31" s="51" t="s">
        <v>52</v>
      </c>
      <c r="I31" s="53"/>
      <c r="J31" s="52" t="s">
        <v>155</v>
      </c>
    </row>
    <row r="32" spans="1:10">
      <c r="A32" s="50">
        <v>31</v>
      </c>
      <c r="B32" s="50" t="s">
        <v>50</v>
      </c>
      <c r="C32" s="51" t="s">
        <v>50</v>
      </c>
      <c r="D32" s="51" t="s">
        <v>152</v>
      </c>
      <c r="E32" s="52" t="s">
        <v>15</v>
      </c>
      <c r="F32" s="51" t="s">
        <v>154</v>
      </c>
      <c r="G32" s="52" t="s">
        <v>150</v>
      </c>
      <c r="H32" s="51" t="s">
        <v>52</v>
      </c>
      <c r="I32" s="53"/>
      <c r="J32" s="52" t="s">
        <v>153</v>
      </c>
    </row>
    <row r="33" spans="1:10">
      <c r="A33" s="50">
        <v>32</v>
      </c>
      <c r="B33" s="50" t="s">
        <v>50</v>
      </c>
      <c r="C33" s="51" t="s">
        <v>50</v>
      </c>
      <c r="D33" s="51" t="s">
        <v>166</v>
      </c>
      <c r="E33" s="52" t="s">
        <v>15</v>
      </c>
      <c r="F33" s="51" t="s">
        <v>167</v>
      </c>
      <c r="G33" s="52" t="s">
        <v>165</v>
      </c>
      <c r="H33" s="51" t="s">
        <v>52</v>
      </c>
      <c r="I33" s="53"/>
      <c r="J33" s="52" t="s">
        <v>104</v>
      </c>
    </row>
    <row r="34" spans="1:10">
      <c r="A34" s="50">
        <v>33</v>
      </c>
      <c r="B34" s="50" t="s">
        <v>50</v>
      </c>
      <c r="C34" s="51" t="s">
        <v>51</v>
      </c>
      <c r="D34" s="51" t="s">
        <v>170</v>
      </c>
      <c r="E34" s="52" t="s">
        <v>15</v>
      </c>
      <c r="F34" s="51" t="s">
        <v>169</v>
      </c>
      <c r="G34" s="52" t="s">
        <v>168</v>
      </c>
      <c r="H34" s="51" t="s">
        <v>52</v>
      </c>
      <c r="I34" s="58"/>
      <c r="J34" s="52" t="s">
        <v>107</v>
      </c>
    </row>
    <row r="35" spans="1:10">
      <c r="A35" s="50">
        <v>34</v>
      </c>
      <c r="B35" s="50" t="s">
        <v>50</v>
      </c>
      <c r="C35" s="51"/>
      <c r="D35" s="51"/>
      <c r="E35" s="52"/>
      <c r="F35" s="51"/>
      <c r="G35" s="52"/>
      <c r="H35" s="51"/>
      <c r="I35" s="53"/>
      <c r="J35" s="52"/>
    </row>
    <row r="36" spans="1:10">
      <c r="A36" s="50">
        <v>35</v>
      </c>
      <c r="B36" s="50" t="s">
        <v>50</v>
      </c>
      <c r="C36" s="51"/>
      <c r="D36" s="51"/>
      <c r="E36" s="52"/>
      <c r="F36" s="51"/>
      <c r="G36" s="52"/>
      <c r="H36" s="51"/>
      <c r="I36" s="53"/>
      <c r="J36" s="52"/>
    </row>
    <row r="37" spans="1:10">
      <c r="A37" s="50">
        <v>36</v>
      </c>
      <c r="B37" s="50" t="s">
        <v>50</v>
      </c>
      <c r="C37" s="51"/>
      <c r="D37" s="51"/>
      <c r="E37" s="52"/>
      <c r="F37" s="51"/>
      <c r="G37" s="52"/>
      <c r="H37" s="51"/>
      <c r="I37" s="53"/>
      <c r="J37" s="52"/>
    </row>
    <row r="38" spans="1:10">
      <c r="A38" s="50">
        <v>37</v>
      </c>
      <c r="B38" s="50" t="s">
        <v>50</v>
      </c>
      <c r="C38" s="51"/>
      <c r="D38" s="51"/>
      <c r="E38" s="52"/>
      <c r="F38" s="51"/>
      <c r="G38" s="52"/>
      <c r="H38" s="51"/>
      <c r="I38" s="53"/>
      <c r="J38" s="52"/>
    </row>
    <row r="39" spans="1:10">
      <c r="A39" s="50">
        <v>38</v>
      </c>
      <c r="B39" s="50" t="s">
        <v>50</v>
      </c>
      <c r="C39" s="51"/>
      <c r="D39" s="51"/>
      <c r="E39" s="52"/>
      <c r="F39" s="51"/>
      <c r="G39" s="52"/>
      <c r="H39" s="51"/>
      <c r="I39" s="53"/>
      <c r="J39" s="52"/>
    </row>
    <row r="40" spans="1:10">
      <c r="A40" s="50">
        <v>39</v>
      </c>
      <c r="B40" s="50" t="s">
        <v>50</v>
      </c>
      <c r="C40" s="51"/>
      <c r="D40" s="51"/>
      <c r="E40" s="52"/>
      <c r="F40" s="51"/>
      <c r="G40" s="52"/>
      <c r="H40" s="51"/>
      <c r="I40" s="53"/>
      <c r="J40" s="52"/>
    </row>
    <row r="41" spans="1:10">
      <c r="A41" s="50">
        <v>40</v>
      </c>
      <c r="B41" s="50" t="s">
        <v>50</v>
      </c>
      <c r="C41" s="51"/>
      <c r="D41" s="51"/>
      <c r="E41" s="52"/>
      <c r="F41" s="51"/>
      <c r="G41" s="52"/>
      <c r="H41" s="51"/>
      <c r="I41" s="53"/>
      <c r="J41" s="52"/>
    </row>
    <row r="42" spans="1:10">
      <c r="A42" s="50">
        <v>41</v>
      </c>
      <c r="B42" s="50" t="s">
        <v>50</v>
      </c>
      <c r="C42" s="51"/>
      <c r="D42" s="51"/>
      <c r="E42" s="52"/>
      <c r="F42" s="51"/>
      <c r="G42" s="52"/>
      <c r="H42" s="51"/>
      <c r="I42" s="53"/>
      <c r="J42" s="52"/>
    </row>
    <row r="43" spans="1:10">
      <c r="A43" s="50">
        <v>42</v>
      </c>
      <c r="B43" s="50" t="s">
        <v>50</v>
      </c>
      <c r="C43" s="51"/>
      <c r="D43" s="51"/>
      <c r="E43" s="52"/>
      <c r="F43" s="51"/>
      <c r="G43" s="52"/>
      <c r="H43" s="51"/>
      <c r="I43" s="53"/>
      <c r="J43" s="52"/>
    </row>
    <row r="44" spans="1:10">
      <c r="A44" s="50">
        <v>43</v>
      </c>
      <c r="B44" s="50" t="s">
        <v>50</v>
      </c>
      <c r="C44" s="51"/>
      <c r="D44" s="51"/>
      <c r="E44" s="52"/>
      <c r="F44" s="51"/>
      <c r="G44" s="52"/>
      <c r="H44" s="51"/>
      <c r="I44" s="53"/>
      <c r="J44" s="52"/>
    </row>
    <row r="45" spans="1:10">
      <c r="A45" s="50">
        <v>44</v>
      </c>
      <c r="B45" s="50" t="s">
        <v>50</v>
      </c>
      <c r="C45" s="51"/>
      <c r="D45" s="51"/>
      <c r="E45" s="52"/>
      <c r="F45" s="51"/>
      <c r="G45" s="52"/>
      <c r="H45" s="51"/>
      <c r="I45" s="53"/>
      <c r="J45" s="52"/>
    </row>
    <row r="46" spans="1:10">
      <c r="A46" s="50">
        <v>45</v>
      </c>
      <c r="B46" s="50" t="s">
        <v>50</v>
      </c>
      <c r="C46" s="51"/>
      <c r="D46" s="51"/>
      <c r="E46" s="52"/>
      <c r="F46" s="51"/>
      <c r="G46" s="52"/>
      <c r="H46" s="51"/>
      <c r="I46" s="53"/>
      <c r="J46" s="52"/>
    </row>
    <row r="47" spans="1:10">
      <c r="A47" s="50">
        <v>46</v>
      </c>
      <c r="B47" s="50" t="s">
        <v>50</v>
      </c>
      <c r="C47" s="54"/>
      <c r="D47" s="51"/>
      <c r="E47" s="52"/>
      <c r="F47" s="51"/>
      <c r="G47" s="55"/>
      <c r="H47" s="51"/>
      <c r="I47" s="53"/>
      <c r="J47" s="52"/>
    </row>
    <row r="48" spans="1:10">
      <c r="A48" s="59">
        <v>47</v>
      </c>
      <c r="B48" s="50" t="s">
        <v>50</v>
      </c>
      <c r="C48" s="51"/>
      <c r="D48" s="51"/>
      <c r="E48" s="52"/>
      <c r="F48" s="51"/>
      <c r="G48" s="52"/>
      <c r="H48" s="51"/>
      <c r="I48" s="53"/>
      <c r="J48" s="52"/>
    </row>
    <row r="49" spans="1:10">
      <c r="A49" s="59">
        <v>96</v>
      </c>
      <c r="B49" s="50" t="s">
        <v>50</v>
      </c>
      <c r="C49" s="51"/>
      <c r="D49" s="51"/>
      <c r="E49" s="52"/>
      <c r="F49" s="51"/>
      <c r="G49" s="52"/>
      <c r="H49" s="51"/>
      <c r="I49" s="53"/>
      <c r="J49" s="52"/>
    </row>
    <row r="50" spans="1:10">
      <c r="A50" s="50">
        <v>48</v>
      </c>
      <c r="B50" s="50" t="s">
        <v>50</v>
      </c>
      <c r="C50" s="51" t="s">
        <v>51</v>
      </c>
      <c r="D50" s="51"/>
      <c r="E50" s="52"/>
      <c r="F50" s="51"/>
      <c r="G50" s="52"/>
      <c r="H50" s="51"/>
      <c r="I50" s="53"/>
      <c r="J50" s="52"/>
    </row>
    <row r="51" spans="1:10">
      <c r="A51" s="50">
        <v>49</v>
      </c>
      <c r="B51" s="50" t="s">
        <v>50</v>
      </c>
      <c r="C51" s="51" t="s">
        <v>51</v>
      </c>
      <c r="D51" s="51"/>
      <c r="E51" s="52"/>
      <c r="F51" s="51"/>
      <c r="G51" s="52"/>
      <c r="H51" s="51"/>
      <c r="I51" s="53"/>
      <c r="J51" s="52"/>
    </row>
    <row r="52" spans="1:10">
      <c r="A52" s="50">
        <v>50</v>
      </c>
      <c r="B52" s="50" t="s">
        <v>50</v>
      </c>
      <c r="C52" s="51" t="s">
        <v>51</v>
      </c>
      <c r="D52" s="51"/>
      <c r="E52" s="52"/>
      <c r="F52" s="51"/>
      <c r="G52" s="52"/>
      <c r="H52" s="51"/>
      <c r="I52" s="53"/>
      <c r="J52" s="52"/>
    </row>
    <row r="53" spans="1:10">
      <c r="A53" s="50">
        <v>51</v>
      </c>
      <c r="B53" s="50" t="s">
        <v>50</v>
      </c>
      <c r="C53" s="51" t="s">
        <v>50</v>
      </c>
      <c r="D53" s="51"/>
      <c r="E53" s="52"/>
      <c r="F53" s="51"/>
      <c r="G53" s="52"/>
      <c r="H53" s="51"/>
      <c r="I53" s="53"/>
      <c r="J53" s="52"/>
    </row>
    <row r="54" spans="1:10">
      <c r="A54" s="50">
        <v>52</v>
      </c>
      <c r="B54" s="50" t="s">
        <v>50</v>
      </c>
      <c r="C54" s="51" t="s">
        <v>51</v>
      </c>
      <c r="D54" s="51"/>
      <c r="E54" s="52"/>
      <c r="F54" s="51"/>
      <c r="G54" s="52"/>
      <c r="H54" s="51"/>
      <c r="I54" s="53"/>
      <c r="J54" s="52"/>
    </row>
    <row r="55" spans="1:10">
      <c r="A55" s="50">
        <v>53</v>
      </c>
      <c r="B55" s="50" t="s">
        <v>50</v>
      </c>
      <c r="C55" s="51" t="s">
        <v>51</v>
      </c>
      <c r="D55" s="51"/>
      <c r="E55" s="52"/>
      <c r="F55" s="51"/>
      <c r="G55" s="52"/>
      <c r="H55" s="51"/>
      <c r="I55" s="53"/>
      <c r="J55" s="52"/>
    </row>
    <row r="56" spans="1:10">
      <c r="A56" s="50">
        <v>54</v>
      </c>
      <c r="B56" s="50" t="s">
        <v>50</v>
      </c>
      <c r="C56" s="51" t="s">
        <v>50</v>
      </c>
      <c r="D56" s="51"/>
      <c r="E56" s="52"/>
      <c r="F56" s="51"/>
      <c r="G56" s="52"/>
      <c r="H56" s="51"/>
      <c r="I56" s="53"/>
      <c r="J56" s="52"/>
    </row>
    <row r="57" spans="1:10">
      <c r="A57" s="50">
        <v>55</v>
      </c>
      <c r="B57" s="50" t="s">
        <v>50</v>
      </c>
      <c r="C57" s="51" t="s">
        <v>50</v>
      </c>
      <c r="D57" s="51"/>
      <c r="E57" s="52"/>
      <c r="F57" s="51"/>
      <c r="G57" s="52"/>
      <c r="H57" s="51"/>
      <c r="I57" s="53"/>
      <c r="J57" s="52"/>
    </row>
    <row r="58" spans="1:10">
      <c r="A58" s="50">
        <v>56</v>
      </c>
      <c r="B58" s="50" t="s">
        <v>50</v>
      </c>
      <c r="C58" s="51" t="s">
        <v>50</v>
      </c>
      <c r="D58" s="51"/>
      <c r="E58" s="52"/>
      <c r="F58" s="51"/>
      <c r="G58" s="52"/>
      <c r="H58" s="51"/>
      <c r="I58" s="53"/>
      <c r="J58" s="52"/>
    </row>
    <row r="59" spans="1:10">
      <c r="A59" s="50">
        <v>57</v>
      </c>
      <c r="B59" s="50" t="s">
        <v>50</v>
      </c>
      <c r="C59" s="51" t="s">
        <v>51</v>
      </c>
      <c r="D59" s="51"/>
      <c r="E59" s="52"/>
      <c r="F59" s="51"/>
      <c r="G59" s="56"/>
      <c r="H59" s="51"/>
      <c r="I59" s="53"/>
      <c r="J59" s="52"/>
    </row>
    <row r="60" spans="1:10">
      <c r="A60" s="50">
        <v>58</v>
      </c>
      <c r="B60" s="50" t="s">
        <v>50</v>
      </c>
      <c r="C60" s="51" t="s">
        <v>50</v>
      </c>
      <c r="D60" s="51"/>
      <c r="E60" s="52"/>
      <c r="F60" s="51"/>
      <c r="G60" s="52"/>
      <c r="H60" s="51"/>
      <c r="I60" s="53"/>
      <c r="J60" s="52"/>
    </row>
    <row r="61" spans="1:10">
      <c r="A61" s="50">
        <v>59</v>
      </c>
      <c r="B61" s="50" t="s">
        <v>50</v>
      </c>
      <c r="C61" s="54" t="s">
        <v>51</v>
      </c>
      <c r="D61" s="51"/>
      <c r="E61" s="52"/>
      <c r="F61" s="51"/>
      <c r="G61" s="55"/>
      <c r="H61" s="51"/>
      <c r="I61" s="53"/>
      <c r="J61" s="52"/>
    </row>
    <row r="62" spans="1:10">
      <c r="A62" s="50">
        <v>60</v>
      </c>
      <c r="B62" s="50" t="s">
        <v>50</v>
      </c>
      <c r="C62" s="51" t="s">
        <v>50</v>
      </c>
      <c r="D62" s="51"/>
      <c r="E62" s="52"/>
      <c r="F62" s="51"/>
      <c r="G62" s="52"/>
      <c r="H62" s="51"/>
      <c r="I62" s="53"/>
      <c r="J62" s="52"/>
    </row>
    <row r="63" spans="1:10">
      <c r="A63" s="50">
        <v>61</v>
      </c>
      <c r="B63" s="50" t="s">
        <v>50</v>
      </c>
      <c r="C63" s="51" t="s">
        <v>51</v>
      </c>
      <c r="D63" s="51"/>
      <c r="E63" s="52"/>
      <c r="F63" s="51"/>
      <c r="G63" s="52"/>
      <c r="H63" s="51"/>
      <c r="I63" s="53"/>
      <c r="J63" s="52"/>
    </row>
    <row r="64" spans="1:10">
      <c r="A64" s="50">
        <v>62</v>
      </c>
      <c r="B64" s="50" t="s">
        <v>50</v>
      </c>
      <c r="C64" s="51" t="s">
        <v>50</v>
      </c>
      <c r="D64" s="51"/>
      <c r="E64" s="52"/>
      <c r="F64" s="51"/>
      <c r="G64" s="52"/>
      <c r="H64" s="51"/>
      <c r="I64" s="53"/>
      <c r="J64" s="52"/>
    </row>
    <row r="65" spans="1:10">
      <c r="A65" s="50">
        <v>63</v>
      </c>
      <c r="B65" s="50" t="s">
        <v>50</v>
      </c>
      <c r="C65" s="51" t="s">
        <v>50</v>
      </c>
      <c r="D65" s="51"/>
      <c r="E65" s="52"/>
      <c r="F65" s="51"/>
      <c r="G65" s="52"/>
      <c r="H65" s="51"/>
      <c r="I65" s="53"/>
      <c r="J65" s="52"/>
    </row>
    <row r="66" spans="1:10">
      <c r="A66" s="50">
        <v>64</v>
      </c>
      <c r="B66" s="50" t="s">
        <v>50</v>
      </c>
      <c r="C66" s="51" t="s">
        <v>51</v>
      </c>
      <c r="D66" s="51"/>
      <c r="E66" s="52"/>
      <c r="F66" s="51"/>
      <c r="G66" s="52"/>
      <c r="H66" s="51"/>
      <c r="I66" s="53"/>
      <c r="J66" s="52"/>
    </row>
    <row r="67" spans="1:10">
      <c r="A67" s="50">
        <v>65</v>
      </c>
      <c r="B67" s="50" t="s">
        <v>50</v>
      </c>
      <c r="C67" s="51" t="s">
        <v>51</v>
      </c>
      <c r="D67" s="51"/>
      <c r="E67" s="52"/>
      <c r="F67" s="51"/>
      <c r="G67" s="52"/>
      <c r="H67" s="51"/>
      <c r="I67" s="53"/>
      <c r="J67" s="52"/>
    </row>
    <row r="68" spans="1:10">
      <c r="A68" s="50">
        <v>66</v>
      </c>
      <c r="B68" s="50" t="s">
        <v>50</v>
      </c>
      <c r="C68" s="51" t="s">
        <v>50</v>
      </c>
      <c r="D68" s="51"/>
      <c r="E68" s="52"/>
      <c r="F68" s="51"/>
      <c r="G68" s="52"/>
      <c r="H68" s="51"/>
      <c r="I68" s="53"/>
      <c r="J68" s="52"/>
    </row>
    <row r="69" spans="1:10">
      <c r="A69" s="50">
        <v>67</v>
      </c>
      <c r="B69" s="50" t="s">
        <v>50</v>
      </c>
      <c r="C69" s="51" t="s">
        <v>50</v>
      </c>
      <c r="D69" s="51"/>
      <c r="E69" s="52"/>
      <c r="F69" s="51"/>
      <c r="G69" s="52"/>
      <c r="H69" s="51"/>
      <c r="I69" s="53"/>
      <c r="J69" s="52"/>
    </row>
    <row r="70" spans="1:10">
      <c r="A70" s="50">
        <v>68</v>
      </c>
      <c r="B70" s="50" t="s">
        <v>50</v>
      </c>
      <c r="C70" s="51" t="s">
        <v>50</v>
      </c>
      <c r="D70" s="51"/>
      <c r="E70" s="52"/>
      <c r="F70" s="51"/>
      <c r="G70" s="52"/>
      <c r="H70" s="51"/>
      <c r="I70" s="53"/>
      <c r="J70" s="52"/>
    </row>
    <row r="71" spans="1:10">
      <c r="A71" s="50">
        <v>69</v>
      </c>
      <c r="B71" s="50" t="s">
        <v>50</v>
      </c>
      <c r="C71" s="51" t="s">
        <v>51</v>
      </c>
      <c r="D71" s="51"/>
      <c r="E71" s="52"/>
      <c r="F71" s="51"/>
      <c r="G71" s="52"/>
      <c r="H71" s="51"/>
      <c r="I71" s="53"/>
      <c r="J71" s="52"/>
    </row>
    <row r="72" spans="1:10">
      <c r="A72" s="50">
        <v>70</v>
      </c>
      <c r="B72" s="50" t="s">
        <v>50</v>
      </c>
      <c r="C72" s="51" t="s">
        <v>50</v>
      </c>
      <c r="D72" s="51"/>
      <c r="E72" s="52"/>
      <c r="F72" s="51"/>
      <c r="G72" s="52"/>
      <c r="H72" s="51"/>
      <c r="I72" s="53"/>
      <c r="J72" s="52"/>
    </row>
    <row r="73" spans="1:10">
      <c r="A73" s="50">
        <v>71</v>
      </c>
      <c r="B73" s="50" t="s">
        <v>50</v>
      </c>
      <c r="C73" s="51" t="s">
        <v>50</v>
      </c>
      <c r="D73" s="51"/>
      <c r="E73" s="52"/>
      <c r="F73" s="51"/>
      <c r="G73" s="52"/>
      <c r="H73" s="51"/>
      <c r="I73" s="53"/>
      <c r="J73" s="52"/>
    </row>
    <row r="74" spans="1:10">
      <c r="A74" s="50">
        <v>72</v>
      </c>
      <c r="B74" s="50" t="s">
        <v>50</v>
      </c>
      <c r="C74" s="51" t="s">
        <v>50</v>
      </c>
      <c r="D74" s="51"/>
      <c r="E74" s="52"/>
      <c r="F74" s="51"/>
      <c r="G74" s="52"/>
      <c r="H74" s="51"/>
      <c r="I74" s="53"/>
      <c r="J74" s="52"/>
    </row>
    <row r="75" spans="1:10">
      <c r="A75" s="50">
        <v>73</v>
      </c>
      <c r="B75" s="50" t="s">
        <v>50</v>
      </c>
      <c r="C75" s="51" t="s">
        <v>50</v>
      </c>
      <c r="D75" s="51"/>
      <c r="E75" s="52"/>
      <c r="F75" s="51"/>
      <c r="G75" s="52"/>
      <c r="H75" s="51"/>
      <c r="I75" s="53"/>
      <c r="J75" s="52"/>
    </row>
    <row r="76" spans="1:10">
      <c r="A76" s="50">
        <v>74</v>
      </c>
      <c r="B76" s="50" t="s">
        <v>50</v>
      </c>
      <c r="C76" s="51" t="s">
        <v>51</v>
      </c>
      <c r="D76" s="51"/>
      <c r="E76" s="52"/>
      <c r="F76" s="51"/>
      <c r="G76" s="56"/>
      <c r="H76" s="51"/>
      <c r="I76" s="53"/>
      <c r="J76" s="52"/>
    </row>
    <row r="77" spans="1:10">
      <c r="A77" s="50">
        <v>75</v>
      </c>
      <c r="B77" s="50" t="s">
        <v>50</v>
      </c>
      <c r="C77" s="51" t="s">
        <v>50</v>
      </c>
      <c r="D77" s="51"/>
      <c r="E77" s="52"/>
      <c r="F77" s="51"/>
      <c r="G77" s="52"/>
      <c r="H77" s="51"/>
      <c r="I77" s="53"/>
      <c r="J77" s="52"/>
    </row>
    <row r="78" spans="1:10">
      <c r="A78" s="50">
        <v>76</v>
      </c>
      <c r="B78" s="50" t="s">
        <v>50</v>
      </c>
      <c r="C78" s="51" t="s">
        <v>51</v>
      </c>
      <c r="D78" s="51"/>
      <c r="E78" s="52"/>
      <c r="F78" s="51"/>
      <c r="G78" s="52"/>
      <c r="H78" s="51"/>
      <c r="I78" s="53"/>
      <c r="J78" s="52"/>
    </row>
    <row r="79" spans="1:10">
      <c r="A79" s="50">
        <v>77</v>
      </c>
      <c r="B79" s="50" t="s">
        <v>50</v>
      </c>
      <c r="C79" s="51" t="s">
        <v>51</v>
      </c>
      <c r="D79" s="51"/>
      <c r="E79" s="52"/>
      <c r="F79" s="51"/>
      <c r="G79" s="52"/>
      <c r="H79" s="51"/>
      <c r="I79" s="53"/>
      <c r="J79" s="52"/>
    </row>
    <row r="80" spans="1:10">
      <c r="A80" s="50">
        <v>78</v>
      </c>
      <c r="B80" s="50" t="s">
        <v>50</v>
      </c>
      <c r="C80" s="51" t="s">
        <v>51</v>
      </c>
      <c r="D80" s="51"/>
      <c r="E80" s="52"/>
      <c r="F80" s="51"/>
      <c r="G80" s="52"/>
      <c r="H80" s="51"/>
      <c r="I80" s="53"/>
      <c r="J80" s="52"/>
    </row>
    <row r="81" spans="1:10">
      <c r="A81" s="50">
        <v>79</v>
      </c>
      <c r="B81" s="50" t="s">
        <v>50</v>
      </c>
      <c r="C81" s="51" t="s">
        <v>50</v>
      </c>
      <c r="D81" s="51"/>
      <c r="E81" s="52"/>
      <c r="F81" s="51"/>
      <c r="G81" s="52"/>
      <c r="H81" s="51"/>
      <c r="I81" s="53"/>
      <c r="J81" s="52"/>
    </row>
    <row r="82" spans="1:10">
      <c r="A82" s="50">
        <v>80</v>
      </c>
      <c r="B82" s="50" t="s">
        <v>50</v>
      </c>
      <c r="C82" s="51" t="s">
        <v>51</v>
      </c>
      <c r="D82" s="51"/>
      <c r="E82" s="52"/>
      <c r="F82" s="51"/>
      <c r="G82" s="52"/>
      <c r="H82" s="51"/>
      <c r="I82" s="53"/>
      <c r="J82" s="52"/>
    </row>
    <row r="83" spans="1:10">
      <c r="A83" s="50">
        <v>81</v>
      </c>
      <c r="B83" s="50" t="s">
        <v>50</v>
      </c>
      <c r="C83" s="51" t="s">
        <v>51</v>
      </c>
      <c r="D83" s="51"/>
      <c r="E83" s="52"/>
      <c r="F83" s="51"/>
      <c r="G83" s="52"/>
      <c r="H83" s="51"/>
      <c r="I83" s="53"/>
      <c r="J83" s="52"/>
    </row>
    <row r="84" spans="1:10">
      <c r="A84" s="50">
        <v>82</v>
      </c>
      <c r="B84" s="50" t="s">
        <v>50</v>
      </c>
      <c r="C84" s="51" t="s">
        <v>51</v>
      </c>
      <c r="D84" s="51"/>
      <c r="E84" s="52"/>
      <c r="F84" s="51"/>
      <c r="G84" s="52"/>
      <c r="H84" s="51"/>
      <c r="I84" s="53"/>
      <c r="J84" s="52"/>
    </row>
    <row r="85" spans="1:10">
      <c r="A85" s="50">
        <v>83</v>
      </c>
      <c r="B85" s="50" t="s">
        <v>50</v>
      </c>
      <c r="C85" s="51" t="s">
        <v>50</v>
      </c>
      <c r="D85" s="51"/>
      <c r="E85" s="52"/>
      <c r="F85" s="51"/>
      <c r="G85" s="52"/>
      <c r="H85" s="51"/>
      <c r="I85" s="53"/>
      <c r="J85" s="52"/>
    </row>
    <row r="86" spans="1:10">
      <c r="A86" s="50">
        <v>84</v>
      </c>
      <c r="B86" s="50" t="s">
        <v>50</v>
      </c>
      <c r="C86" s="51" t="s">
        <v>51</v>
      </c>
      <c r="D86" s="51"/>
      <c r="E86" s="52"/>
      <c r="F86" s="51"/>
      <c r="G86" s="52"/>
      <c r="H86" s="51"/>
      <c r="I86" s="53"/>
      <c r="J86" s="52"/>
    </row>
    <row r="87" spans="1:10">
      <c r="A87" s="50">
        <v>85</v>
      </c>
      <c r="B87" s="50" t="s">
        <v>50</v>
      </c>
      <c r="C87" s="51" t="s">
        <v>51</v>
      </c>
      <c r="D87" s="51"/>
      <c r="E87" s="52"/>
      <c r="F87" s="51"/>
      <c r="G87" s="52"/>
      <c r="H87" s="51"/>
      <c r="I87" s="53"/>
      <c r="J87" s="52"/>
    </row>
    <row r="88" spans="1:10">
      <c r="A88" s="50">
        <v>86</v>
      </c>
      <c r="B88" s="50" t="s">
        <v>50</v>
      </c>
      <c r="C88" s="51" t="s">
        <v>50</v>
      </c>
      <c r="D88" s="51"/>
      <c r="E88" s="52"/>
      <c r="F88" s="51"/>
      <c r="G88" s="52"/>
      <c r="H88" s="51"/>
      <c r="I88" s="53"/>
      <c r="J88" s="56"/>
    </row>
    <row r="89" spans="1:10">
      <c r="A89" s="50">
        <v>87</v>
      </c>
      <c r="B89" s="50" t="s">
        <v>50</v>
      </c>
      <c r="C89" s="51" t="s">
        <v>51</v>
      </c>
      <c r="D89" s="51"/>
      <c r="E89" s="52"/>
      <c r="F89" s="51"/>
      <c r="G89" s="52"/>
      <c r="H89" s="51"/>
      <c r="I89" s="53"/>
      <c r="J89" s="56"/>
    </row>
    <row r="90" spans="1:10">
      <c r="A90" s="50">
        <v>88</v>
      </c>
      <c r="B90" s="50" t="s">
        <v>50</v>
      </c>
      <c r="C90" s="51" t="s">
        <v>50</v>
      </c>
      <c r="D90" s="51"/>
      <c r="E90" s="52"/>
      <c r="F90" s="51"/>
      <c r="G90" s="52"/>
      <c r="H90" s="51"/>
      <c r="I90" s="53"/>
      <c r="J90" s="52"/>
    </row>
    <row r="91" spans="1:10">
      <c r="A91" s="50">
        <v>89</v>
      </c>
      <c r="B91" s="50" t="s">
        <v>50</v>
      </c>
      <c r="C91" s="51" t="s">
        <v>51</v>
      </c>
      <c r="D91" s="51"/>
      <c r="E91" s="52"/>
      <c r="F91" s="51"/>
      <c r="G91" s="52"/>
      <c r="H91" s="51"/>
      <c r="I91" s="53"/>
      <c r="J91" s="52"/>
    </row>
    <row r="92" spans="1:10">
      <c r="A92" s="50">
        <v>90</v>
      </c>
      <c r="B92" s="50" t="s">
        <v>50</v>
      </c>
      <c r="C92" s="51" t="s">
        <v>51</v>
      </c>
      <c r="D92" s="51"/>
      <c r="E92" s="52"/>
      <c r="F92" s="51"/>
      <c r="G92" s="52"/>
      <c r="H92" s="51"/>
      <c r="I92" s="53"/>
      <c r="J92" s="52"/>
    </row>
    <row r="93" spans="1:10">
      <c r="A93" s="50">
        <v>91</v>
      </c>
      <c r="B93" s="50" t="s">
        <v>50</v>
      </c>
      <c r="C93" s="51" t="s">
        <v>50</v>
      </c>
      <c r="D93" s="57"/>
      <c r="E93" s="52"/>
      <c r="F93" s="51"/>
      <c r="G93" s="55"/>
      <c r="H93" s="51"/>
      <c r="I93" s="53"/>
      <c r="J93" s="52"/>
    </row>
    <row r="94" spans="1:10">
      <c r="A94" s="50">
        <v>92</v>
      </c>
      <c r="B94" s="50" t="s">
        <v>50</v>
      </c>
      <c r="C94" s="51" t="s">
        <v>51</v>
      </c>
      <c r="D94" s="51"/>
      <c r="E94" s="52"/>
      <c r="F94" s="51"/>
      <c r="G94" s="52"/>
      <c r="H94" s="51"/>
      <c r="I94" s="53"/>
      <c r="J94" s="52"/>
    </row>
    <row r="95" spans="1:10">
      <c r="A95" s="50" t="s">
        <v>64</v>
      </c>
      <c r="B95" s="50" t="s">
        <v>50</v>
      </c>
      <c r="C95" s="51" t="s">
        <v>50</v>
      </c>
      <c r="D95" s="51"/>
      <c r="E95" s="52"/>
      <c r="F95" s="51"/>
      <c r="G95" s="52"/>
      <c r="H95" s="51"/>
      <c r="I95" s="53"/>
      <c r="J95" s="52"/>
    </row>
    <row r="96" spans="1:10">
      <c r="A96" s="50">
        <v>93</v>
      </c>
      <c r="B96" s="50" t="s">
        <v>50</v>
      </c>
      <c r="C96" s="51" t="s">
        <v>51</v>
      </c>
      <c r="D96" s="51"/>
      <c r="E96" s="52"/>
      <c r="F96" s="51"/>
      <c r="G96" s="52"/>
      <c r="H96" s="51"/>
      <c r="I96" s="53"/>
      <c r="J96" s="52"/>
    </row>
    <row r="97" spans="1:10">
      <c r="A97" s="50">
        <v>94</v>
      </c>
      <c r="B97" s="50" t="s">
        <v>50</v>
      </c>
      <c r="C97" s="51" t="s">
        <v>51</v>
      </c>
      <c r="D97" s="51"/>
      <c r="E97" s="52"/>
      <c r="F97" s="51"/>
      <c r="G97" s="52"/>
      <c r="H97" s="51"/>
      <c r="I97" s="53"/>
      <c r="J97" s="52"/>
    </row>
    <row r="98" spans="1:10">
      <c r="A98" s="21">
        <v>1</v>
      </c>
      <c r="B98" s="48">
        <v>2</v>
      </c>
      <c r="C98" s="48">
        <v>3</v>
      </c>
      <c r="D98" s="48">
        <v>4</v>
      </c>
      <c r="E98" s="48">
        <v>5</v>
      </c>
      <c r="F98" s="48">
        <v>6</v>
      </c>
      <c r="G98" s="48">
        <v>7</v>
      </c>
      <c r="H98" s="48">
        <v>8</v>
      </c>
      <c r="I98" s="48">
        <v>9</v>
      </c>
      <c r="J98" s="49">
        <v>10</v>
      </c>
    </row>
  </sheetData>
  <autoFilter ref="A1:J98" xr:uid="{00000000-0009-0000-0000-000001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TGP</vt:lpstr>
      <vt:lpstr>Personal</vt:lpstr>
      <vt:lpstr>TGP!Área_de_impresión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CEDANO</dc:creator>
  <cp:lastModifiedBy>Yomira Ramirez</cp:lastModifiedBy>
  <cp:lastPrinted>2026-04-16T23:19:27Z</cp:lastPrinted>
  <dcterms:created xsi:type="dcterms:W3CDTF">2021-01-07T15:39:47Z</dcterms:created>
  <dcterms:modified xsi:type="dcterms:W3CDTF">2026-04-16T23:19:42Z</dcterms:modified>
</cp:coreProperties>
</file>